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ISMA - AGGREGATOR\"/>
    </mc:Choice>
  </mc:AlternateContent>
  <xr:revisionPtr revIDLastSave="0" documentId="13_ncr:1_{2405CAEE-06C4-4C33-9994-8E9CF5CCADB9}" xr6:coauthVersionLast="47" xr6:coauthVersionMax="47" xr10:uidLastSave="{00000000-0000-0000-0000-000000000000}"/>
  <bookViews>
    <workbookView xWindow="-120" yWindow="-120" windowWidth="38640" windowHeight="21120" tabRatio="899" firstSheet="2" activeTab="2" xr2:uid="{00000000-000D-0000-FFFF-FFFF00000000}"/>
  </bookViews>
  <sheets>
    <sheet name="APP" sheetId="22" state="hidden" r:id="rId1"/>
    <sheet name="JUNE AXIS -EXP" sheetId="20" state="hidden" r:id="rId2"/>
    <sheet name="oct-25-26" sheetId="21" r:id="rId3"/>
    <sheet name="Sheet1" sheetId="31" r:id="rId4"/>
    <sheet name=" DEC MONTH OVER ALL STATEMENT" sheetId="30" state="hidden" r:id="rId5"/>
    <sheet name="payment From Ganesh" sheetId="26" state="hidden" r:id="rId6"/>
    <sheet name="PURCHASE" sheetId="28" state="hidden" r:id="rId7"/>
    <sheet name="WATCH TOWER" sheetId="25" state="hidden" r:id="rId8"/>
    <sheet name="BAKERS" sheetId="24" state="hidden" r:id="rId9"/>
    <sheet name="April 24 All Side Expenses " sheetId="11" state="hidden" r:id="rId10"/>
  </sheets>
  <definedNames>
    <definedName name="_xlnm._FilterDatabase" localSheetId="4" hidden="1">' DEC MONTH OVER ALL STATEMENT'!$A$3:$K$3</definedName>
    <definedName name="_xlnm._FilterDatabase" localSheetId="9" hidden="1">'April 24 All Side Expenses '!$A$2:$I$176</definedName>
    <definedName name="_xlnm._FilterDatabase" localSheetId="2" hidden="1">'oct-25-26'!$A$1:$AB$221</definedName>
    <definedName name="_xlnm._FilterDatabase" localSheetId="6" hidden="1">PURCHASE!$A$5:$L$40</definedName>
    <definedName name="_xlnm.Print_Area" localSheetId="2">'oct-25-26'!#REF!</definedName>
  </definedNames>
  <calcPr calcId="191029"/>
</workbook>
</file>

<file path=xl/calcChain.xml><?xml version="1.0" encoding="utf-8"?>
<calcChain xmlns="http://schemas.openxmlformats.org/spreadsheetml/2006/main">
  <c r="K214" i="21" l="1"/>
  <c r="K211" i="21"/>
  <c r="K210" i="21"/>
  <c r="K71" i="21"/>
  <c r="K18" i="21"/>
  <c r="K213" i="21" l="1"/>
  <c r="K70" i="21"/>
  <c r="K17" i="21"/>
  <c r="K222" i="21" s="1"/>
  <c r="A4" i="11" l="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G34" i="24"/>
  <c r="G16" i="24"/>
  <c r="G9" i="24"/>
  <c r="I41" i="28"/>
  <c r="H40" i="28"/>
  <c r="H41" i="28" s="1"/>
  <c r="I27" i="28"/>
  <c r="I21" i="28"/>
  <c r="L20" i="28"/>
  <c r="I6" i="28"/>
  <c r="C12" i="26"/>
  <c r="J41" i="28" l="1"/>
</calcChain>
</file>

<file path=xl/sharedStrings.xml><?xml version="1.0" encoding="utf-8"?>
<sst xmlns="http://schemas.openxmlformats.org/spreadsheetml/2006/main" count="7624" uniqueCount="1682">
  <si>
    <t>Accounts</t>
  </si>
  <si>
    <t>Category</t>
  </si>
  <si>
    <t>Note</t>
  </si>
  <si>
    <t>Income/Expense</t>
  </si>
  <si>
    <t>VISMA OFFICE EXP</t>
  </si>
  <si>
    <t xml:space="preserve">SALARY </t>
  </si>
  <si>
    <t>Expense</t>
  </si>
  <si>
    <t xml:space="preserve">Material purchase </t>
  </si>
  <si>
    <t>LIMRA</t>
  </si>
  <si>
    <t xml:space="preserve">Factory </t>
  </si>
  <si>
    <t xml:space="preserve">LABOUR PAYMENT </t>
  </si>
  <si>
    <t>RAJU</t>
  </si>
  <si>
    <t>SIVARAJ</t>
  </si>
  <si>
    <t>BALAJI AXIS</t>
  </si>
  <si>
    <t>MJK</t>
  </si>
  <si>
    <t>SRITHAR</t>
  </si>
  <si>
    <t>Somu</t>
  </si>
  <si>
    <t>THAMBURAJ</t>
  </si>
  <si>
    <t>BAKERS UNIQ</t>
  </si>
  <si>
    <t>Raju</t>
  </si>
  <si>
    <t>ANNA</t>
  </si>
  <si>
    <t>HYUNDAI UNIQ</t>
  </si>
  <si>
    <t>ZARON</t>
  </si>
  <si>
    <t xml:space="preserve">OFFICE EXPENSES </t>
  </si>
  <si>
    <t>OFFICE RENT</t>
  </si>
  <si>
    <t>KARUPSAMY</t>
  </si>
  <si>
    <t>HINDUSTAN</t>
  </si>
  <si>
    <t>KARPAGAM STEELS</t>
  </si>
  <si>
    <t>BALAJI</t>
  </si>
  <si>
    <t>RENT</t>
  </si>
  <si>
    <t>JOVEENS</t>
  </si>
  <si>
    <t>Date</t>
  </si>
  <si>
    <t>code</t>
  </si>
  <si>
    <t>Debit</t>
  </si>
  <si>
    <t>Code</t>
  </si>
  <si>
    <t>MP</t>
  </si>
  <si>
    <t>LP</t>
  </si>
  <si>
    <t>EP</t>
  </si>
  <si>
    <t>OE</t>
  </si>
  <si>
    <t>S.NO</t>
  </si>
  <si>
    <t>Material Purchase (Materials &amp; Consumables)</t>
  </si>
  <si>
    <t>FE</t>
  </si>
  <si>
    <t>Expenses at  Factory</t>
  </si>
  <si>
    <t>SE</t>
  </si>
  <si>
    <t>Expenses at Site</t>
  </si>
  <si>
    <t>Labour Payment</t>
  </si>
  <si>
    <t>LA</t>
  </si>
  <si>
    <t>Labour advance</t>
  </si>
  <si>
    <t>Staff advance</t>
  </si>
  <si>
    <t>Office Expenses(Staff salary &amp; other expenses)</t>
  </si>
  <si>
    <t>Logistic Expenses( Expenses of  Crane,Travel , Transport)</t>
  </si>
  <si>
    <t>Erection Payment</t>
  </si>
  <si>
    <t>AT</t>
  </si>
  <si>
    <t>Amount transfer</t>
  </si>
  <si>
    <t>AR</t>
  </si>
  <si>
    <t>Amount Received</t>
  </si>
  <si>
    <t>CLP</t>
  </si>
  <si>
    <t>Client Payment</t>
  </si>
  <si>
    <t>SAL</t>
  </si>
  <si>
    <t>SITE EXPENSES</t>
  </si>
  <si>
    <t>CHANDRA HYUNDAI</t>
  </si>
  <si>
    <t>SITE &amp; FOOD EXPENSES</t>
  </si>
  <si>
    <t>PETROL 0275</t>
  </si>
  <si>
    <t>VEHICLE EXP - INDIRECT EXP</t>
  </si>
  <si>
    <t>OFFICE</t>
  </si>
  <si>
    <t>SRIDHAR</t>
  </si>
  <si>
    <t>02.04.24</t>
  </si>
  <si>
    <t>AXIS BANK</t>
  </si>
  <si>
    <t>HYDRALIC SPARES</t>
  </si>
  <si>
    <t>SUNDARAAJ</t>
  </si>
  <si>
    <t>LABOUR &amp; STAFF WELFARE - INDIRECT EXP</t>
  </si>
  <si>
    <t>OFFICE / FACTORY</t>
  </si>
  <si>
    <t>WILD WEARS</t>
  </si>
  <si>
    <t xml:space="preserve">OE </t>
  </si>
  <si>
    <t>SAKTHIVEL</t>
  </si>
  <si>
    <t>03.04.24</t>
  </si>
  <si>
    <t>TEA EXPENSES</t>
  </si>
  <si>
    <t>ASHOK</t>
  </si>
  <si>
    <t>ROBINSON GIFT</t>
  </si>
  <si>
    <t>CRANE RENT</t>
  </si>
  <si>
    <t>ARUN</t>
  </si>
  <si>
    <t>AUTO RENT</t>
  </si>
  <si>
    <t>PAUL DURAI</t>
  </si>
  <si>
    <t>A3 PRINT</t>
  </si>
  <si>
    <t>BAKERS</t>
  </si>
  <si>
    <t>GOWTHAM</t>
  </si>
  <si>
    <t xml:space="preserve"> </t>
  </si>
  <si>
    <t>04.04.24</t>
  </si>
  <si>
    <t>FOOD EXPENSES</t>
  </si>
  <si>
    <t>TRUCK RENT</t>
  </si>
  <si>
    <t>SARAVANAN</t>
  </si>
  <si>
    <t xml:space="preserve">TELEPHONE BILLS </t>
  </si>
  <si>
    <t>05.04.24</t>
  </si>
  <si>
    <t>LPG CYLINDERS 2</t>
  </si>
  <si>
    <t>ARUMUGAM</t>
  </si>
  <si>
    <t>DRILLING M/C RENT</t>
  </si>
  <si>
    <t>MURUGASEN</t>
  </si>
  <si>
    <t>WATER CAN</t>
  </si>
  <si>
    <t>WATER PROCESSING EXP</t>
  </si>
  <si>
    <t>SUDHAGAR</t>
  </si>
  <si>
    <t>06.04.24</t>
  </si>
  <si>
    <t>5 MTR TAPE</t>
  </si>
  <si>
    <t>SREE VIGNESHWARA</t>
  </si>
  <si>
    <t>KALISAMY</t>
  </si>
  <si>
    <t>LABOUR PAYMENT</t>
  </si>
  <si>
    <t>WAGES A/C</t>
  </si>
  <si>
    <t>ABDUL SALAM</t>
  </si>
  <si>
    <t>CONSUMABLES AND PRIMER</t>
  </si>
  <si>
    <t>MAHALAKSHMI ELE</t>
  </si>
  <si>
    <t xml:space="preserve">BALAJI </t>
  </si>
  <si>
    <t>RAW WATER 4 LOADS</t>
  </si>
  <si>
    <t>UDHYAKUMAR</t>
  </si>
  <si>
    <t>DRINKING WATER</t>
  </si>
  <si>
    <t>SRI DEVI</t>
  </si>
  <si>
    <t>LABOUR TEA PAYMENT</t>
  </si>
  <si>
    <t>TAMIL</t>
  </si>
  <si>
    <t>07.04.24</t>
  </si>
  <si>
    <t>LABOUR MEDICAL EXEPENSES</t>
  </si>
  <si>
    <t>08.04.24</t>
  </si>
  <si>
    <t>MACHINE SERVICE / CONSUMABL</t>
  </si>
  <si>
    <t>VENI</t>
  </si>
  <si>
    <t>THANGAMANI</t>
  </si>
  <si>
    <t>09.04.24</t>
  </si>
  <si>
    <t>PRABHU</t>
  </si>
  <si>
    <t xml:space="preserve">BIKE SERVICE (ANNA) </t>
  </si>
  <si>
    <t>DEVAKRISHNAN</t>
  </si>
  <si>
    <t>ANGENADEVI</t>
  </si>
  <si>
    <t>10.04.24</t>
  </si>
  <si>
    <t>FACTORY RENT</t>
  </si>
  <si>
    <t>FACTORY RENT - DE</t>
  </si>
  <si>
    <t>ROOM RENT / LABOUR FOOD</t>
  </si>
  <si>
    <t>HELMET FOR STAFF</t>
  </si>
  <si>
    <t>11.04.24</t>
  </si>
  <si>
    <t>12.04.24</t>
  </si>
  <si>
    <t>TELEPHONE BILLS - INDIRECT EXPENCES</t>
  </si>
  <si>
    <t>AIRTEL</t>
  </si>
  <si>
    <t>LABOUR AUTO RENT</t>
  </si>
  <si>
    <t>13.04.24</t>
  </si>
  <si>
    <t>DHIYA TRANSPORT</t>
  </si>
  <si>
    <t>MANPANNAI</t>
  </si>
  <si>
    <t>14.04.24</t>
  </si>
  <si>
    <t>PAINT PRIMER CONSUMABLE</t>
  </si>
  <si>
    <t>BALAJI CRANES</t>
  </si>
  <si>
    <t>15.04.24</t>
  </si>
  <si>
    <t>BALSEKARAN</t>
  </si>
  <si>
    <t xml:space="preserve">EB BILL </t>
  </si>
  <si>
    <t>TNEB</t>
  </si>
  <si>
    <t>TELEPHONE EXP - INDIRECT EXP</t>
  </si>
  <si>
    <t>AIRTELQ</t>
  </si>
  <si>
    <t xml:space="preserve">WATER PROCESSING EXP </t>
  </si>
  <si>
    <t>ROOM RENT/SITE EXPENCES</t>
  </si>
  <si>
    <t>16.04.24</t>
  </si>
  <si>
    <t>WIFI RECHARGE</t>
  </si>
  <si>
    <t>WATER PROCESING EXP</t>
  </si>
  <si>
    <t>HYDRALIC SPARES AND SERVICE</t>
  </si>
  <si>
    <t>YES BANK</t>
  </si>
  <si>
    <t>17.04.24</t>
  </si>
  <si>
    <t>HYDERABAD BUS TICKET</t>
  </si>
  <si>
    <t>HYDRABAD</t>
  </si>
  <si>
    <t>REDBUS</t>
  </si>
  <si>
    <t>PETROL ALTO</t>
  </si>
  <si>
    <t>18.04.24</t>
  </si>
  <si>
    <t>TRAVEL EXPENSES</t>
  </si>
  <si>
    <t>LADDER RENT</t>
  </si>
  <si>
    <t>SIDESWARAN</t>
  </si>
  <si>
    <t>20.04.24</t>
  </si>
  <si>
    <t>MIG TORCH SERVICE</t>
  </si>
  <si>
    <t>KAVIYA</t>
  </si>
  <si>
    <t>21.04.24</t>
  </si>
  <si>
    <t>SUGUNA</t>
  </si>
  <si>
    <t>RAW WATER 3 LOAD</t>
  </si>
  <si>
    <t>LPG CYLINDERS 1</t>
  </si>
  <si>
    <t>ARUMUGAN</t>
  </si>
  <si>
    <t>BANKING CHARGES</t>
  </si>
  <si>
    <t>22.04.24</t>
  </si>
  <si>
    <t>GRINDING MACHINE SERVICE</t>
  </si>
  <si>
    <t>HITECH</t>
  </si>
  <si>
    <t>23.04.24</t>
  </si>
  <si>
    <t>DRILLBIT AND CONSUMABLES</t>
  </si>
  <si>
    <t>LION TOOLS</t>
  </si>
  <si>
    <t>CUTTING OIL</t>
  </si>
  <si>
    <t>TOILET CLEANING</t>
  </si>
  <si>
    <t>24.04.24</t>
  </si>
  <si>
    <t xml:space="preserve">WIFI RECHARGE </t>
  </si>
  <si>
    <t>TVS TRANSPORT</t>
  </si>
  <si>
    <t xml:space="preserve">SENTHIL </t>
  </si>
  <si>
    <t>R3K LUBE</t>
  </si>
  <si>
    <t>25.04.24</t>
  </si>
  <si>
    <t>26.04.24</t>
  </si>
  <si>
    <t>27.04.24</t>
  </si>
  <si>
    <t xml:space="preserve">O2 CYLINDERS </t>
  </si>
  <si>
    <t xml:space="preserve">UNIQUE </t>
  </si>
  <si>
    <t>RAW WATER 2 LOAD</t>
  </si>
  <si>
    <t>HYDRAULIC SERVICE</t>
  </si>
  <si>
    <t xml:space="preserve"> ARAB JHON</t>
  </si>
  <si>
    <t xml:space="preserve">TAMIL </t>
  </si>
  <si>
    <t>29.04.24</t>
  </si>
  <si>
    <t>LABOUR ABDUL SALAM</t>
  </si>
  <si>
    <t>INDIRECT EXPENSE</t>
  </si>
  <si>
    <t>03.04.23</t>
  </si>
  <si>
    <t>SUNDHARAJ V</t>
  </si>
  <si>
    <t>RAGUPATHY</t>
  </si>
  <si>
    <t>GST ANNUAL</t>
  </si>
  <si>
    <t>GST</t>
  </si>
  <si>
    <t>PETROL</t>
  </si>
  <si>
    <t>GANESAN</t>
  </si>
  <si>
    <t>PURCHASE AC</t>
  </si>
  <si>
    <t>UNIQUE PRODUTS</t>
  </si>
  <si>
    <t>GOOLE DIGITAL</t>
  </si>
  <si>
    <t>COMPUTER PURCHASE</t>
  </si>
  <si>
    <t>MR COMPUTER SERVICE</t>
  </si>
  <si>
    <t>ARAB JOHN</t>
  </si>
  <si>
    <t>BC</t>
  </si>
  <si>
    <t>CASH DEP CHARGE</t>
  </si>
  <si>
    <t>KARUPPUSAMY</t>
  </si>
  <si>
    <t>CBDL</t>
  </si>
  <si>
    <t>30.04.24</t>
  </si>
  <si>
    <t>AADOC OLIVE GREEN</t>
  </si>
  <si>
    <t>SHREE SAKTHI MESS</t>
  </si>
  <si>
    <t>DINESH</t>
  </si>
  <si>
    <t>TE</t>
  </si>
  <si>
    <t>REVATHI</t>
  </si>
  <si>
    <t>Site</t>
  </si>
  <si>
    <t>CAPITAL AC</t>
  </si>
  <si>
    <t>OFFICE EXPENSES</t>
  </si>
  <si>
    <t>HYUNDAI UNIQENSES</t>
  </si>
  <si>
    <t>Factory  EXPENSES</t>
  </si>
  <si>
    <t>Factory Expenses</t>
  </si>
  <si>
    <t>FACTORY EXPENSES</t>
  </si>
  <si>
    <t>AUTO RENT  TRANSPORT CHARGE</t>
  </si>
  <si>
    <t>TRANSPORT EXPENSES</t>
  </si>
  <si>
    <t>MAHALAKSHMI ELECTRICALS</t>
  </si>
  <si>
    <t>FACTORY EXPESES</t>
  </si>
  <si>
    <t>OFFIICE EXPENSES</t>
  </si>
  <si>
    <t>CASH IN HAND</t>
  </si>
  <si>
    <t>CASH WITHRAWAL</t>
  </si>
  <si>
    <t>CIH</t>
  </si>
  <si>
    <t>KVB TO AXIS</t>
  </si>
  <si>
    <t xml:space="preserve">Project expenses </t>
  </si>
  <si>
    <t xml:space="preserve">Client payments </t>
  </si>
  <si>
    <t>Payment</t>
  </si>
  <si>
    <t>MS ENGINEERS</t>
  </si>
  <si>
    <t>Cash</t>
  </si>
  <si>
    <t>METCO ROOF</t>
  </si>
  <si>
    <t>VETRI TEKLA</t>
  </si>
  <si>
    <t>EXPENSES CASH</t>
  </si>
  <si>
    <t>SEETHA SALARY</t>
  </si>
  <si>
    <t>SAMUNDEESWARI SALARY</t>
  </si>
  <si>
    <t>CRANE -</t>
  </si>
  <si>
    <t>SENN IN</t>
  </si>
  <si>
    <t>RR THULASI</t>
  </si>
  <si>
    <t>ARASAN</t>
  </si>
  <si>
    <t>APPOLLO STRUCTURALS</t>
  </si>
  <si>
    <t>CASH</t>
  </si>
  <si>
    <t>Description</t>
  </si>
  <si>
    <t>ACCOUNTS</t>
  </si>
  <si>
    <t>CATEGARY</t>
  </si>
  <si>
    <t>Client/vendor</t>
  </si>
  <si>
    <t>PROJECT</t>
  </si>
  <si>
    <t>CODE</t>
  </si>
  <si>
    <t>Amount</t>
  </si>
  <si>
    <t>CH</t>
  </si>
  <si>
    <t>BAK</t>
  </si>
  <si>
    <t>TEA</t>
  </si>
  <si>
    <t>AMOUNT RECEIVED</t>
  </si>
  <si>
    <t>VISMA ASSOCIATES</t>
  </si>
  <si>
    <t xml:space="preserve"> ACCOUNTS   MARCH 24</t>
  </si>
  <si>
    <t>SA</t>
  </si>
  <si>
    <t>01-06-2024</t>
  </si>
  <si>
    <t>UPI/P2A/415384753509/Mr SENTHILKUMAR DURAI/auto b/Indian Bank</t>
  </si>
  <si>
    <t>DR</t>
  </si>
  <si>
    <t>UPI/P2M/451971252038/RAJAN C              /level/Yes Bank Ltd</t>
  </si>
  <si>
    <t>UPI/P2M/415361156347/VIJAYALAKSHMI        /UPI/Yes Bank Ltd</t>
  </si>
  <si>
    <t>UPI/P2M/451956960839/DHANALAKSHMI STORES  /UPI/Yes Bank Ltd</t>
  </si>
  <si>
    <t>UPI/P2A/451951662367/SURESH KUMAR A       /UPI/Indian Overseas Bank</t>
  </si>
  <si>
    <t>UPI/P2A/415322165449/KARUPPUSWAMY S       /Labour/ICICI Bank</t>
  </si>
  <si>
    <t>UPI/P2A/451914672312/S  Seethalakshmi     /statio/State Bank Of India</t>
  </si>
  <si>
    <t>NEFT/N153240211049275/VISMA ASSOCIATES/KARUR VYSYA BANK/</t>
  </si>
  <si>
    <t>CR</t>
  </si>
  <si>
    <t>UPI/P2A/415381082666/S MAHENDRAN          /crane/HDFC BANK LTD</t>
  </si>
  <si>
    <t>UPI/P2A/415398383106/MAHALAKSHMI ELECTRICA/consum/City Union Bank</t>
  </si>
  <si>
    <t>UPI/P2A/451929388087/KALISAMY S           /auto r/Bank of Baroda</t>
  </si>
  <si>
    <t>UPI/P2A/415380989253/PAULDURAI  S         /Labour/State Bank Of India</t>
  </si>
  <si>
    <t>UPI/P2A/451925386676/MAHALAKSHMI AGENCIESR/Ms pip/City Union Bank</t>
  </si>
  <si>
    <t>UPI/P2A/415390083060/MAHALAKSHMI AGENCIESR/UPI/City Union Bank</t>
  </si>
  <si>
    <t>UPI/P2A/451984787217/PERUMAL CRANE SERVICE/crane/State Bank Of India</t>
  </si>
  <si>
    <t>03-06-2024</t>
  </si>
  <si>
    <t>UPI/P2A/415568564166/Mr RAJADURAI E       /UPI/Indian Bank</t>
  </si>
  <si>
    <t>UPI/P2M/415569371019/EURONETGPAY          /UPI/ICICI Bank</t>
  </si>
  <si>
    <t>UPI/P2A/452149278178/DINESH V             /30 ton/Karur Vysya Bank</t>
  </si>
  <si>
    <t>UPI/P2A/415562974196/Mr PRADEES KUMAR M1  /truck/Bank of Maharashtra</t>
  </si>
  <si>
    <t>IMPS/P2A/415520070232/VISMAASS/KARURVYS/AT/9199947334669053000</t>
  </si>
  <si>
    <t>04-06-2024</t>
  </si>
  <si>
    <t>UPI/P2M/415635407450/COIMBATORE LORRY OWNE/UPI/Yes Bank Ltd</t>
  </si>
  <si>
    <t>UPI/P2A/415609109308/SRI MURUGAN HARDWARE /sheet/Tamilnad Mercantile</t>
  </si>
  <si>
    <t>UPI/P2A/415699716967/SRI MURUGAN HARDWARE /silico/Tamilnad Mercantile</t>
  </si>
  <si>
    <t>UPI/P2A/415616313632/A SURESH KUMAR       /small/HDFC BANK LTD</t>
  </si>
  <si>
    <t>UPI/P2A/452253921796/Mr. SELVARAJ K  S    /Labour/Indian Bank</t>
  </si>
  <si>
    <t>IMPS/P2A/415614116894/VISMAASS/KARURVYS/EXPENSES/9199947334669053000</t>
  </si>
  <si>
    <t>UPI/P2A/415634028825/MOHANRAJ M           /Ms pol/Union Bank of India</t>
  </si>
  <si>
    <t>UPI/P2A/452212933391/T  SIVARAJ           /crane/Kotak Mahindra Bank</t>
  </si>
  <si>
    <t>UPI/P2A/452238033678/Jayda Khatoon        /sheeti/Airtel Payments Bank</t>
  </si>
  <si>
    <t>05-06-2024</t>
  </si>
  <si>
    <t>IMPS/P2A/415710158941/VISMAASS/KARURVYS/AT/9199947334669053000</t>
  </si>
  <si>
    <t>UPI/P2A/415724455739/THAMBURAJ  RAMALINGAM/paint/State Bank Of India</t>
  </si>
  <si>
    <t>UPI/P2A/452358658174/DHEEBAK S            /genset/Union Bank of India</t>
  </si>
  <si>
    <t>UPI/P2A/415771662918/MOHANRAJ M           /auto r/Union Bank of India</t>
  </si>
  <si>
    <t>UPI/P2M/452376969688/Nithra Apps India Pri/for be/Axis Bank Ltd.</t>
  </si>
  <si>
    <t>UPI/P2M/452338081053/CITY CAKE SHOP       /UPI/Yes Bank Ltd</t>
  </si>
  <si>
    <t>IMPS/P2A/415720192086/VISMAASS/KARURVYS/AT/9199947334669053000</t>
  </si>
  <si>
    <t>UPI/P2A/452313997658/Jayda Khatoon        /sheeti/Airtel Payments Bank</t>
  </si>
  <si>
    <t>UPI/P2A/452390491262/A SURESH KUMAR       /small/HDFC BANK LTD</t>
  </si>
  <si>
    <t>06-06-2024</t>
  </si>
  <si>
    <t>UPI/P2A/415800709273/Ms Logambal Rajagopal/chenna/City Union Bank</t>
  </si>
  <si>
    <t>UPI/P2A/452464715940/MONADAS A            /Ms mes/Indian Overseas Bank</t>
  </si>
  <si>
    <t>UPI/P2M/452486111048/SHANTHI SOCIAL SERVIC/petrol/Yes Bank Ltd</t>
  </si>
  <si>
    <t>UPI/P2M/415822422195/Mr KRISHNAGOPAL  V   /UPI/Yes Bank Ltd</t>
  </si>
  <si>
    <t>IMPS/P2A/415813226316/VISMAASS/KARURVYS/AT/9199947334669053000</t>
  </si>
  <si>
    <t>UPI/P2M/415873317272/Alamelu Periyasami   /food e/Yes Bank Ltd</t>
  </si>
  <si>
    <t>UPI/P2A/415842529231/KARUPPUSWAMY S       /a3 pri/ICICI Bank</t>
  </si>
  <si>
    <t>UPI/P2M/452404628865/Kumarapalayam Tollway/UPI/Yes Bank Ltd</t>
  </si>
  <si>
    <t>UPI/P2M/415841632482/DINESH D             /UPI/Yes Bank Ltd</t>
  </si>
  <si>
    <t>07-06-2024</t>
  </si>
  <si>
    <t>UPI/P2A/452559451590/A JAYARAJ            /auto r/Axis Bank Ltd.</t>
  </si>
  <si>
    <t>UPI/P2A/452522458566/THAMBURAJ  RAMALINGAM/diesel/State Bank Of India</t>
  </si>
  <si>
    <t>UPI/P2A/452575856360/SUNDARARAAJ  V       /cluste/State Bank Of India</t>
  </si>
  <si>
    <t>UPI/P2A/415932054766/SUNDARARAAJ  V       /cluste/State Bank Of India</t>
  </si>
  <si>
    <t>UPI/P2M/415951679442/Redbus India Private /UPI/ICICI Bank</t>
  </si>
  <si>
    <t>UPI/P2M/415938396211/ANAZ K K             /UPI/Yes Bank Ltd</t>
  </si>
  <si>
    <t>08-06-2024</t>
  </si>
  <si>
    <t>UPI/P2A/452629416930/SRIDHAR K M          /train/Bank of Baroda</t>
  </si>
  <si>
    <t>UPI/P2A/416058720788/SRI MURUGAN HARDWARE /paint/Tamilnad Mercantile</t>
  </si>
  <si>
    <t>UPI/P2A/416034716022/SRI MURUGAN HARDWARE /consum/Tamilnad Mercantile</t>
  </si>
  <si>
    <t>UPI/P2A/452673379422/SRIDHAR K/Bank of B/returned/</t>
  </si>
  <si>
    <t>UPI/P2A/452651428831/T  SIVARAJ           /UPI/Kotak Mahindra Bank</t>
  </si>
  <si>
    <t>UPI/P2A/416013033659/JALALDEEN M          /UPI/Bank of Baroda</t>
  </si>
  <si>
    <t>UPI/P2A/452611842925/MAHALAKSHMI AGENCIESR/Ms ang/City Union Bank</t>
  </si>
  <si>
    <t>10-06-2024</t>
  </si>
  <si>
    <t>UPI/P2M/452848715050/BALA SEKHARAN AGENCIE/UPI/Yes Bank Ltd</t>
  </si>
  <si>
    <t>UPI/P2A/416283516708/THAMBURAJ  RAMALINGAM/diesel/State Bank Of India</t>
  </si>
  <si>
    <t>UPI/P2A/416245621342/SRI MURUGAN HARDWARE /screw/Tamilnad Mercantile</t>
  </si>
  <si>
    <t>UPI/P2A/452829030006/SUNDARARAAJ  V       /Ms mes/State Bank Of India</t>
  </si>
  <si>
    <t>UPI/P2A/416236031777/Mr MURUGESAN  K      /grindi/City Union Bank</t>
  </si>
  <si>
    <t>UPI/P2A/416250733532/T  SIVARAJ           /cuttin/Kotak Mahindra Bank</t>
  </si>
  <si>
    <t>UPI/P2A/416256834774/THAMBURAJ  RAMALINGAM/bike s/State Bank Of India</t>
  </si>
  <si>
    <t>11-06-2024</t>
  </si>
  <si>
    <t>IMPS/P2A/416309477495/VISMAASS/KARURVYS/MP/9199947334669053000</t>
  </si>
  <si>
    <t>UPI/P2M/416362871837/bajajpay 6879729 0548/chain/INDUSIND BANK</t>
  </si>
  <si>
    <t>UPI/P2A/416372781044/THAMBURAJ  RAMALINGAM/diesel/State Bank Of India</t>
  </si>
  <si>
    <t>UPI/P2A/416331676412/THAMBURAJ  RAMALINGAM/sheeti/State Bank Of India</t>
  </si>
  <si>
    <t>UPI/P2A/452900912164/THAMBURAJ  RAMALINGAM/sheeti/State Bank Of India</t>
  </si>
  <si>
    <t>12-06-2024</t>
  </si>
  <si>
    <t>UPI/P2A/416487512773/THAMBURAJ  RAMALINGAM/site e/State Bank Of India</t>
  </si>
  <si>
    <t>13-06-2024</t>
  </si>
  <si>
    <t>IMPS/P2A/416518612940/VISMAASS/KARURVYS/AT/9199947334669053000</t>
  </si>
  <si>
    <t>14-06-2024</t>
  </si>
  <si>
    <t>UPI/P2A/416669524442/THAMBURAJ  RAMALINGAM/diesel/State Bank Of India</t>
  </si>
  <si>
    <t>IMPS/P2A/416614654853/VISMAASS/KARURVYS/AT/9199947334669053000</t>
  </si>
  <si>
    <t>15-06-2024</t>
  </si>
  <si>
    <t>UPI/P2M/453358776731/bajajpay 6879729 0004/4 and/INDUSIND BANK</t>
  </si>
  <si>
    <t>UPI/P2M/416758969843/bajajpay 6879729 0004/5 inch/INDUSIND BANK</t>
  </si>
  <si>
    <t>UPI/P2M/453311084546/Roots Auto Products P/UPI/Yes Bank Ltd</t>
  </si>
  <si>
    <t>UPI/P2A/416737383619/THAMBURAJ  RAMALINGAM/site e/State Bank Of India</t>
  </si>
  <si>
    <t>UPI/P2A/453351479847/JINENDER KUMAR U     /Ms rod/DBS Bank India Limit</t>
  </si>
  <si>
    <t>UPI/P2A/453333788088/T  SIVARAJ           /petrol/Kotak Mahindra Bank</t>
  </si>
  <si>
    <t>16-06-2024</t>
  </si>
  <si>
    <t>IMPS/P2A/416814757306/VISMAASS/KARURVYS/AT/9199947334669053000</t>
  </si>
  <si>
    <t>UPI/P2M/416853156702/Google India Digital /UPI/ICICI Bank</t>
  </si>
  <si>
    <t>SENTHIL KUMAR</t>
  </si>
  <si>
    <t>AS</t>
  </si>
  <si>
    <t>LEVEL TUPE</t>
  </si>
  <si>
    <t>DHANALAKSHMI</t>
  </si>
  <si>
    <t>THREAD</t>
  </si>
  <si>
    <t>VIJAYA LAKSHMI</t>
  </si>
  <si>
    <t>MAHALAKSHMI</t>
  </si>
  <si>
    <t>PAULDURAI</t>
  </si>
  <si>
    <t>PERUMAL</t>
  </si>
  <si>
    <t>SURESH KUMAR</t>
  </si>
  <si>
    <t>FOOD EXP</t>
  </si>
  <si>
    <t>OFFICE EXP</t>
  </si>
  <si>
    <t>STATIONARY</t>
  </si>
  <si>
    <t>SEETHA</t>
  </si>
  <si>
    <t>BALAJI CRANE</t>
  </si>
  <si>
    <t>FAC</t>
  </si>
  <si>
    <t>MATERIAL PURCHASE</t>
  </si>
  <si>
    <t>PAINT</t>
  </si>
  <si>
    <t>BAK/WT</t>
  </si>
  <si>
    <t>BAK/PREMIER</t>
  </si>
  <si>
    <t>DY/WT</t>
  </si>
  <si>
    <t>MS PIPE</t>
  </si>
  <si>
    <t>PREMIER</t>
  </si>
  <si>
    <t>RECHARGE</t>
  </si>
  <si>
    <t>BSNL</t>
  </si>
  <si>
    <t>PRADEES</t>
  </si>
  <si>
    <t>SCREW</t>
  </si>
  <si>
    <t>SRI MURUGAN</t>
  </si>
  <si>
    <t>SILICON PASTE</t>
  </si>
  <si>
    <t>SELVARAJ</t>
  </si>
  <si>
    <t>SHEETING</t>
  </si>
  <si>
    <t>JAYADAV</t>
  </si>
  <si>
    <t>GENSET</t>
  </si>
  <si>
    <t>DEEBAK</t>
  </si>
  <si>
    <t>MOHANRAJ</t>
  </si>
  <si>
    <t>ADD</t>
  </si>
  <si>
    <t>NITRA</t>
  </si>
  <si>
    <t>CITY</t>
  </si>
  <si>
    <t>TRAVELLING EXPENSES</t>
  </si>
  <si>
    <t>TRAIN TICKET</t>
  </si>
  <si>
    <t>GOPAL</t>
  </si>
  <si>
    <t>MS MEES</t>
  </si>
  <si>
    <t>MONODASS</t>
  </si>
  <si>
    <t>FACTORY EXP</t>
  </si>
  <si>
    <t>SSS</t>
  </si>
  <si>
    <t>KRISHNA GOPAL</t>
  </si>
  <si>
    <t>ALAMELU</t>
  </si>
  <si>
    <t>TOLL WAY</t>
  </si>
  <si>
    <t>TOLL</t>
  </si>
  <si>
    <t>TEA EXP</t>
  </si>
  <si>
    <t>PRIMIER</t>
  </si>
  <si>
    <t>DIESEL CONSUMABLE</t>
  </si>
  <si>
    <t>CLUSTER WHEEL</t>
  </si>
  <si>
    <t>SUNDARAJ</t>
  </si>
  <si>
    <t>BUS TICKET</t>
  </si>
  <si>
    <t>RED BUS</t>
  </si>
  <si>
    <t>BAASHYAM</t>
  </si>
  <si>
    <t>ANAZ KK</t>
  </si>
  <si>
    <t>SCREW/PAINT</t>
  </si>
  <si>
    <t>RETURN</t>
  </si>
  <si>
    <t>Site Expenses</t>
  </si>
  <si>
    <t>sivaraj</t>
  </si>
  <si>
    <t>JAYADHAN</t>
  </si>
  <si>
    <t>GRINDING</t>
  </si>
  <si>
    <t>murugesan</t>
  </si>
  <si>
    <t>CUTTING WHEEL</t>
  </si>
  <si>
    <t>BIKE SERVICE</t>
  </si>
  <si>
    <t>CHAIN BLOCK</t>
  </si>
  <si>
    <t>ROOTS</t>
  </si>
  <si>
    <t>MS ROD</t>
  </si>
  <si>
    <t>UNITED</t>
  </si>
  <si>
    <t>EB BILL</t>
  </si>
  <si>
    <t>17-06-2024</t>
  </si>
  <si>
    <t>UPI/P2M/416978176942/J R PALANISAMY       /Sq tub/Yes Bank Ltd</t>
  </si>
  <si>
    <t>UPI/P2M/416911873684/J R PALANISAMY       /am ang/Yes Bank Ltd</t>
  </si>
  <si>
    <t>INB/NEFT/AXOIC16915658613/Unique products/STATE BANK OF INDIA/</t>
  </si>
  <si>
    <t>UPI/P2M/453525685945/SREE ANNAPOORNA SREE /food e/Yes Bank Ltd</t>
  </si>
  <si>
    <t>18-06-2024</t>
  </si>
  <si>
    <t>UPI/P2M/453683815639/SWARNA LATHA S       /UPI/Yes Bank Ltd</t>
  </si>
  <si>
    <t>UPI/P2A/453688241367/DHEEBAK S            /genset/Union Bank of India</t>
  </si>
  <si>
    <t>19-06-2024</t>
  </si>
  <si>
    <t>UPI/P2A/453792364456/T  SIVARAJ           /chain/Kotak Mahindra Bank</t>
  </si>
  <si>
    <t>UPI/P2A/453710963293/SUDHAGAR M           /6 wate/Canara Bank</t>
  </si>
  <si>
    <t>20-06-2024</t>
  </si>
  <si>
    <t>NEFT/N172240212222148/VISMA ASSOCIATES/KARUR VYSYA BANK/</t>
  </si>
  <si>
    <t>INB/NEFT/AXOIC17245294402/VISMA ASSOCIATES/KARUR VYSYA BANK/</t>
  </si>
  <si>
    <t>UPI/P2M/453870529737/ATHINI STEEL TRADERS /Ms pip/UCO Bank</t>
  </si>
  <si>
    <t>UPI/P2A/417230132388/RANGASAMY R          /auto r/UCO Bank</t>
  </si>
  <si>
    <t>21-06-2024</t>
  </si>
  <si>
    <t>UPI/P2M/417395666215/K R BAKES PVT LTD    /UPI/South Indian Bank</t>
  </si>
  <si>
    <t>22-06-2024</t>
  </si>
  <si>
    <t>IMPS/P2A/417412036453/VISMAASS/KARURVYS/GSTFEES/9199947334669053000</t>
  </si>
  <si>
    <t>INB/720436218/GST TAX PAYMENT/may</t>
  </si>
  <si>
    <t>NEFT/N174240212331639/VISMA ASSOCIATES/KARUR VYSYA BANK/</t>
  </si>
  <si>
    <t>UPI/P2A/417490024559/SUNDARARAAJ  V       /mp pre/State Bank Of India</t>
  </si>
  <si>
    <t>UPI/P2M/454001630457/Google India Digital /UPI/ICICI Bank</t>
  </si>
  <si>
    <t>UPI/P2A/417454025358/SRI MURUGAN HARDWARE /Screws/Tamilnad Mercantile</t>
  </si>
  <si>
    <t>UPI/P2A/417488126833/MAHALAKSHMI AGENCIESR/mp pre/City Union Bank</t>
  </si>
  <si>
    <t>UPI/P2A/417499923077/THAMBURAJ  RAMALINGAM/site e/State Bank Of India</t>
  </si>
  <si>
    <t>UPI/P2A/417417602563/THAMBURAJ/State Ban/UPI/</t>
  </si>
  <si>
    <t>24-06-2024</t>
  </si>
  <si>
    <t>UPI/P2A/417652612041/T  SIVARAJ           /site e/Kotak Mahindra Bank</t>
  </si>
  <si>
    <t>UPI/P2M/417627610212/SAGATH CHEMICALS     /varnam/Yes Bank Ltd</t>
  </si>
  <si>
    <t>IMPS/P2A/417611121748/VISMAASS/KARURVYS/MATERIAL/9199947334669053000</t>
  </si>
  <si>
    <t>UPI/P2A/417669716409/M  KARTHIKEYAN       /intres/State Bank Of India</t>
  </si>
  <si>
    <t>INB/NEFT/AXOIC17685350482/WILSON METAL MART/INDUSIND BANK//////</t>
  </si>
  <si>
    <t>UPI/P2A/454247427648/PRIYANKA SUDHAKAR    /office/State Bank Of India</t>
  </si>
  <si>
    <t>UPI/P2A/417643560702/SRIDHAR K/Bank of B/intrest/</t>
  </si>
  <si>
    <t>UPI/P2A/417684634165/ARUMUGAM ANGAMUTHU   /lpg cy/Karur Vysya Bank</t>
  </si>
  <si>
    <t>25-06-2024</t>
  </si>
  <si>
    <t>IMPS/P2A/417710168389/VISMAASS/KARURVYS/Expenses/9199947334669053000</t>
  </si>
  <si>
    <t>UPI/P2M/417739274385/GANDHI NR            /UPI/Indian Overseas Bank</t>
  </si>
  <si>
    <t>UPI/P2M/417729671026/bajajpay.6879729.0004/5 inch/INDUSIND BANK</t>
  </si>
  <si>
    <t>UPI/P2M/417721475969/SHREE SAKTHI MESS    /UPI/Yes Bank Ltd</t>
  </si>
  <si>
    <t>UPI/P2A/417742779358/SUNDARARAAJ  V       /petrol/State Bank Of India</t>
  </si>
  <si>
    <t>GST @18% on Monthly Avg Bal Ch</t>
  </si>
  <si>
    <t>Monthly Avg Bal Chrgs</t>
  </si>
  <si>
    <t xml:space="preserve">NEW SPR </t>
  </si>
  <si>
    <t>O2 CYLINDER</t>
  </si>
  <si>
    <t>UNIQUE PRODUCTS</t>
  </si>
  <si>
    <t>ANNAPOORNA</t>
  </si>
  <si>
    <t>SWARNALATHA</t>
  </si>
  <si>
    <t>SUDHAKAR</t>
  </si>
  <si>
    <t>AMOUNT TRANSFER</t>
  </si>
  <si>
    <t xml:space="preserve">ATHINI STEEL </t>
  </si>
  <si>
    <t>RANGASAMY</t>
  </si>
  <si>
    <t>KR BAKARES</t>
  </si>
  <si>
    <t>GST FILLING</t>
  </si>
  <si>
    <t xml:space="preserve">GST </t>
  </si>
  <si>
    <t>MATRIAL PUR</t>
  </si>
  <si>
    <t>LPG</t>
  </si>
  <si>
    <t>SANGATH CHEMICAL</t>
  </si>
  <si>
    <t>KARTHIKEYAN</t>
  </si>
  <si>
    <t>WILSON METAL</t>
  </si>
  <si>
    <t>CHAIR</t>
  </si>
  <si>
    <t>PRINYANGA</t>
  </si>
  <si>
    <t>GANDHI</t>
  </si>
  <si>
    <t>WHEEL</t>
  </si>
  <si>
    <t>SAKTHI MESS</t>
  </si>
  <si>
    <t>BANK CHARGE</t>
  </si>
  <si>
    <t>RAJADURAI</t>
  </si>
  <si>
    <t>27-06-2024</t>
  </si>
  <si>
    <t>IMPS/P2A/417914284675/VISMAASS/KARURVYS/EXPENSES/9199947334669053000</t>
  </si>
  <si>
    <t>UPI/P2A/454586159996/THAMBURAJ  RAMALINGAM/site e/State Bank Of India</t>
  </si>
  <si>
    <t>UPI/P2A/417991059176/THAMBURAJ  RAMALINGAM/salary/State Bank Of India</t>
  </si>
  <si>
    <t>UPI/P2M/454573062209/R H R HOTELS COIMBAT /UPI/Yes Bank Ltd</t>
  </si>
  <si>
    <t>UPI/P2A/417902875720/T  SIVARAJ           /site e/Kotak Mahindra Bank</t>
  </si>
  <si>
    <t>UPI/P2M/417927278735/SABARI DECORATERS    /ladder/South Indian Bank</t>
  </si>
  <si>
    <t>28-06-2024</t>
  </si>
  <si>
    <t>UPI/P2A/454637897118/T  SIVARAJ           /Turpen/Kotak Mahindra Bank</t>
  </si>
  <si>
    <t>29-06-2024</t>
  </si>
  <si>
    <t>IMPS/P2A/418113384601/VISMAASS/KARURVYS/EXPENSES/9199947334669053000</t>
  </si>
  <si>
    <t>UPI/P2A/418136255776/SRIDHAR K M          /site e/Bank of Baroda</t>
  </si>
  <si>
    <t>UPI/P2A/418101353977/SUNDARARAAJ  V       /expens/State Bank Of India</t>
  </si>
  <si>
    <t>IMPS/P2A/418115389172/VISMAASS/KARURVYS/EXPENSES/9199947334669053000</t>
  </si>
  <si>
    <t>UPI/P2M/418137261943/ATHINI STEEL TRADERS /Ms pip/UCO Bank</t>
  </si>
  <si>
    <t>UPI/P2M/418103258849/ATHINI STEEL TRADERS /Ms pip/UCO Bank</t>
  </si>
  <si>
    <t>UPI/P2A/418122362560/RANGASAMY R          /auto r/UCO Bank</t>
  </si>
  <si>
    <t>UPI/P2A/418105905878/SRIDHAR K/Bank of B/UPI/</t>
  </si>
  <si>
    <t>UPI/P2A/418111670355/T  SIVARAJ           /Labour/Kotak Mahindra Bank</t>
  </si>
  <si>
    <t>IMPS/P2A/418119404857/VISMAASS/KARURVYS/AT/9199947334669053000</t>
  </si>
  <si>
    <t>UPI/P2A/454761582720/THAMBURAJ  RAMALINGAM/site e/State Bank Of India</t>
  </si>
  <si>
    <t>UPI/P2A/454757887871/THAMBURAJ  RAMALINGAM/for ar/State Bank Of India</t>
  </si>
  <si>
    <t>UPI/P2A/454766285431/S  Seethalakshmi     /office/State Bank Of India</t>
  </si>
  <si>
    <t>30-06-2024</t>
  </si>
  <si>
    <t>IMPS/P2A/418211436235/VISMAASS/KARURVYS/EXPENSES/9199947334669053000</t>
  </si>
  <si>
    <t>UPI/P2A/454851300134/Satheeshkumar  .     /Labour/State Bank Of India</t>
  </si>
  <si>
    <t>UPI/P2A/454877312704/THAMBURAJ  RAMALINGAM/Labour/State Bank Of India</t>
  </si>
  <si>
    <t>RHR</t>
  </si>
  <si>
    <t>SABARI</t>
  </si>
  <si>
    <t>TURPEN OIL</t>
  </si>
  <si>
    <t>ARASAN/BAK</t>
  </si>
  <si>
    <t>STATIONARI</t>
  </si>
  <si>
    <t>SATHEESH</t>
  </si>
  <si>
    <t>TRANSPORT EXP</t>
  </si>
  <si>
    <t>LABOUR AUTO EXP</t>
  </si>
  <si>
    <t>08.06.24</t>
  </si>
  <si>
    <t>KALISAMY AUTO</t>
  </si>
  <si>
    <t>SITE EXP</t>
  </si>
  <si>
    <t>12.06.24</t>
  </si>
  <si>
    <t>DIECEL</t>
  </si>
  <si>
    <t>GUTTING WHEEL</t>
  </si>
  <si>
    <t>15.06.24</t>
  </si>
  <si>
    <t>22.06.24</t>
  </si>
  <si>
    <t>ROD RENT</t>
  </si>
  <si>
    <t>CHAIN BLOCK RENT</t>
  </si>
  <si>
    <t>ALPHA THREAD</t>
  </si>
  <si>
    <t>30 TONS</t>
  </si>
  <si>
    <t>DEEPAK</t>
  </si>
  <si>
    <t>THAMBURAI</t>
  </si>
  <si>
    <t>Period</t>
  </si>
  <si>
    <t>INR</t>
  </si>
  <si>
    <t>Income</t>
  </si>
  <si>
    <t>Visma Axis</t>
  </si>
  <si>
    <t>METCO</t>
  </si>
  <si>
    <t>SUNDARARAAJ</t>
  </si>
  <si>
    <t>CSK</t>
  </si>
  <si>
    <t>QSPACE</t>
  </si>
  <si>
    <t>ANNAI chit</t>
  </si>
  <si>
    <t>GST FEES MAY MONTH</t>
  </si>
  <si>
    <t>SELEKT</t>
  </si>
  <si>
    <t>SURESH FAB</t>
  </si>
  <si>
    <t>MJK INDUSTRIES</t>
  </si>
  <si>
    <t>S.No</t>
  </si>
  <si>
    <t>RCML</t>
  </si>
  <si>
    <t>Thamburaj</t>
  </si>
  <si>
    <t>BAASHYAAM</t>
  </si>
  <si>
    <t>FACTORY</t>
  </si>
  <si>
    <t>ARJUN</t>
  </si>
  <si>
    <t xml:space="preserve">S.no </t>
  </si>
  <si>
    <t xml:space="preserve">Staff Dress  </t>
  </si>
  <si>
    <t>Sivaraj</t>
  </si>
  <si>
    <t>Karuppusany</t>
  </si>
  <si>
    <t>Arjun</t>
  </si>
  <si>
    <t>kannan</t>
  </si>
  <si>
    <t>Payment From Ganesh Rs 500000.00</t>
  </si>
  <si>
    <t>EVER GREEN</t>
  </si>
  <si>
    <t>09-11-2024</t>
  </si>
  <si>
    <t>LPG CYLINDER</t>
  </si>
  <si>
    <t>PURCHASE</t>
  </si>
  <si>
    <t>UNIQUE PRODUCT</t>
  </si>
  <si>
    <t>HANNAH TRADING</t>
  </si>
  <si>
    <t>11-11-2024</t>
  </si>
  <si>
    <t>12-11-2024</t>
  </si>
  <si>
    <t>16-11-2024</t>
  </si>
  <si>
    <t xml:space="preserve">consumable </t>
  </si>
  <si>
    <t>Lion Tools Mart</t>
  </si>
  <si>
    <t>baashyaam</t>
  </si>
  <si>
    <t>vsm enterprises</t>
  </si>
  <si>
    <t>SATHIYARAJ</t>
  </si>
  <si>
    <t>SAKTHI VINAYAGA</t>
  </si>
  <si>
    <t>HYDRA RENT</t>
  </si>
  <si>
    <t>SATHEESHKUMAR</t>
  </si>
  <si>
    <t>o2 cylinder</t>
  </si>
  <si>
    <t>YAMAHA/EG</t>
  </si>
  <si>
    <t>BOLT &amp; NUTS</t>
  </si>
  <si>
    <t>18.11.2024</t>
  </si>
  <si>
    <t>MATERIAL PURCHASED</t>
  </si>
  <si>
    <t>PURCHASED</t>
  </si>
  <si>
    <t>VERSATILE (BOOM BARRIER)</t>
  </si>
  <si>
    <t>19.11.2024</t>
  </si>
  <si>
    <t>21.11.2024</t>
  </si>
  <si>
    <t>yamaha</t>
  </si>
  <si>
    <t>28-11-2024</t>
  </si>
  <si>
    <t xml:space="preserve">Yamaha </t>
  </si>
  <si>
    <t xml:space="preserve">BAASHYAM </t>
  </si>
  <si>
    <t xml:space="preserve">Premeir </t>
  </si>
  <si>
    <t>POWER STEELS</t>
  </si>
  <si>
    <t>VSM ENTERPRISES</t>
  </si>
  <si>
    <t>MARVEL STEELS</t>
  </si>
  <si>
    <t>Mechsoft</t>
  </si>
  <si>
    <t>SUNDARARAAJ/SARASHWATHI WIRE NETTING</t>
  </si>
  <si>
    <t>material purchase</t>
  </si>
  <si>
    <t>30-11-2024</t>
  </si>
  <si>
    <t>office exp</t>
  </si>
  <si>
    <t>sri sakthi vinayag</t>
  </si>
  <si>
    <t>SRI SAKTHI VINAYAGA</t>
  </si>
  <si>
    <t>30.11.24</t>
  </si>
  <si>
    <t>ALPHA</t>
  </si>
  <si>
    <t>SEMMOZHI PARK</t>
  </si>
  <si>
    <t>MAHALAK ELECTRICAL</t>
  </si>
  <si>
    <t>OLD</t>
  </si>
  <si>
    <t>DESCRIPTION</t>
  </si>
  <si>
    <t>OLD bill</t>
  </si>
  <si>
    <t>bill</t>
  </si>
  <si>
    <t>paid</t>
  </si>
  <si>
    <t>star fastners</t>
  </si>
  <si>
    <t xml:space="preserve"> ACCOUNTS   DEC 24</t>
  </si>
  <si>
    <t>01-12-2024</t>
  </si>
  <si>
    <t>UPI/P2A/470219823717/T  SIVARAJ           /travel/Kotak Mahindra Bank</t>
  </si>
  <si>
    <t>02-12-2024</t>
  </si>
  <si>
    <t>UPI/P2M/433778541962/BALA SEKHARAN AGENCIE/UPI/Yes Bank Ltd</t>
  </si>
  <si>
    <t>UPI/P2A/470376550492/THAMBURAJ  RAMALINGAM/site e/State Bank Of India</t>
  </si>
  <si>
    <t>UPI/P2A/433754660846/KALISAMY S           /truck/BANK OF BARODA</t>
  </si>
  <si>
    <t>UPI/P2A/433714952793/Satheeshkumar  .     /Labour/State Bank Of India</t>
  </si>
  <si>
    <t>UPI/P2A/433719453142/MAAC ENGINEERING SOLU/MS ben/Union Bank of India</t>
  </si>
  <si>
    <t>UPI/P2A/470358958559/MAAC ENGINEERING SOLU/MS ben/Union Bank of India</t>
  </si>
  <si>
    <t>UPI/P2M/470319764574/Mohanraj M           /UPI/AXIS BANK</t>
  </si>
  <si>
    <t>UPI/P2M/470322398458/RINCY                /UPI/Yes Bank Ltd</t>
  </si>
  <si>
    <t>UPI/P2A/470335298961/SHARUKKAN S          /painti/HDFC BANK LTD</t>
  </si>
  <si>
    <t>UPI/P2A/433755206064/DUMMY NAME           /powder/CANARA BANK</t>
  </si>
  <si>
    <t>UPI/P2A/470354399429/Mrs Shanmugam Sappaiy/monthl/INDIAN BANK</t>
  </si>
  <si>
    <t>03-12-2024</t>
  </si>
  <si>
    <t>UPI/P2A/470456520071/THAMBURAJ  RAMALINGAM/diesel/State Bank Of India</t>
  </si>
  <si>
    <t>UPI/P2A/433868224488/ARJUNAN  S           /petrol/State Bank Of India</t>
  </si>
  <si>
    <t>IMPS/P2A/433812818596/VISMAASS/KARURVYS/AT/9199947334669053000</t>
  </si>
  <si>
    <t>INB/IFT/Pioneer welding cbe/TPARTY TRANSFER</t>
  </si>
  <si>
    <t>UPI/P2A/433835536006/SATHIYARAJ C         /1 lpg/INDIAN OVERSEAS BANK</t>
  </si>
  <si>
    <t>INB/NEFT/AXOIC33885409107/KK SOFTWARES AND SYST/ICICI BANK LIMITED//////</t>
  </si>
  <si>
    <t>04-12-2024</t>
  </si>
  <si>
    <t>UPI/P2A/433975104721/SUNDARARAAJ  V       /UPI/State Bank Of India</t>
  </si>
  <si>
    <t>UPI/P2A/470583196571/SUNDARARAAJ  V       /materi/State Bank Of India</t>
  </si>
  <si>
    <t>UPI/P2A/470503514308/GOWTHAM  P           /old la/State Bank Of India</t>
  </si>
  <si>
    <t>UPI/P2A/470501012346/SUNDARARA/State Ban/UPI/</t>
  </si>
  <si>
    <t>UPI/P2M/433955509571/ESSKAY STEELS        /UPI/INDIAN OVERSEAS BANK</t>
  </si>
  <si>
    <t>UPI/P2M/470527114084/ESSKAY STEELS        /materi/INDIAN OVERSEAS BANK</t>
  </si>
  <si>
    <t>UPI/P2A/433969940318/KARUPPUSWAMY S       /food e/ICICI Bank</t>
  </si>
  <si>
    <t>UPI/P2A/470582442121/Mr Sathish Kumar S   /o2 cyl/INDIAN BANK</t>
  </si>
  <si>
    <t>UPI/P2A/433934940010/MK CLASSIC HOMES     /EB bil/HDFC BANK LTD</t>
  </si>
  <si>
    <t>UPI/P2A/433989843115/ARJUNAN  S           /salary/State Bank Of India</t>
  </si>
  <si>
    <t>05-12-2024</t>
  </si>
  <si>
    <t>UPI/P2M/470668275351/SRI SENTHIL ANDAVAR P/UPI/Yes Bank Ltd</t>
  </si>
  <si>
    <t>UPI/P2M/470653591155/DEEPAK M             /UPI/Yes Bank Ltd</t>
  </si>
  <si>
    <t>UPI/P2A/434055884647/THAMBURAJ  RAMALINGAM/site e/State Bank Of India</t>
  </si>
  <si>
    <t>06-12-2024</t>
  </si>
  <si>
    <t>UPI/P2A/470782628855/THAMBURAJ  RAMALINGAM/site e/State Bank Of India</t>
  </si>
  <si>
    <t>UPI/P2M/434174849823/Mohanraj M           /UPI/AXIS BANK</t>
  </si>
  <si>
    <t>07-12-2024</t>
  </si>
  <si>
    <t>UPI/P2A/434257029195/ARJUNAN  S           /UPI/State Bank Of India</t>
  </si>
  <si>
    <t>IMPS/P2A/434213059737/VISMAASS/KARURVYS/EXPENSE/9199947334669053000</t>
  </si>
  <si>
    <t>UPI/P2A/470848430831/JANARTHANAN R        /petrol/CANARA BANK</t>
  </si>
  <si>
    <t>NEFT/N342240223657885/VISMA ASSOCIATES/KARUR VYSYA BANK/</t>
  </si>
  <si>
    <t>INB/722212180/TIN 2.0 CBDT TAX PAYMENT/</t>
  </si>
  <si>
    <t>UPI/P2A/434266242977/MAAC ENGINEERING SOLU/Ms pla/Union Bank of India</t>
  </si>
  <si>
    <t>UPI/P2A/434285332818/THAMBURAJ  RAMALINGAM/site e/State Bank Of India</t>
  </si>
  <si>
    <t>IMPS/P2A/434217069376/VISMAASS/KARURVYS/EXPENSES/9199947334669053000</t>
  </si>
  <si>
    <t>UPI/P2A/470805748483/Mr Sharukkan S S     /painti/INDIAN BANK</t>
  </si>
  <si>
    <t>UPI/P2A/434239558160/MK CLASSIC HOMES     /room r/HDFC BANK LTD</t>
  </si>
  <si>
    <t>INB/NEFT/AXOIC34215511423/Shanmugam sappyan/INDIAN BANK//////</t>
  </si>
  <si>
    <t>UPI/P2A/470841268475/Mr M VINODH KUMAR    /3 anti/INDIAN BANK</t>
  </si>
  <si>
    <t>08-12-2024</t>
  </si>
  <si>
    <t>UPI/P2A/470981983568/ARJUNAN  S           /UPI/State Bank Of India</t>
  </si>
  <si>
    <t>UPI/P2A/434399598272/THAMBURAJ  RAMALINGAM/Labour/State Bank Of India</t>
  </si>
  <si>
    <t>UPI/P2A/470949204870/KARUPPUSWAMY S       /food e/ICICI Bank</t>
  </si>
  <si>
    <t>09-12-2024</t>
  </si>
  <si>
    <t>UPI/P2M/434411151503/Google India Service /UPI/ICICI Bank</t>
  </si>
  <si>
    <t>UPI/P2A/471084673329/THAMBURAJ  RAMALINGAM/cutoff/State Bank Of India</t>
  </si>
  <si>
    <t>IMPS/P2A/434418201444/VISMAASS/KARURVYS/AT/9199947334669053000</t>
  </si>
  <si>
    <t>UPI/P2A/471049609398/Mr DHANDAPANI  B     /gst fe/CENTRAL BANK OF INDI</t>
  </si>
  <si>
    <t>UPI/P2A/471054298263/THAMBURAJ  RAMALINGAM/bus ti/State Bank Of India</t>
  </si>
  <si>
    <t>10-12-2024</t>
  </si>
  <si>
    <t>UPI/P2A/434559016571/ARJUNAN  S           /site e/State Bank Of India</t>
  </si>
  <si>
    <t>UPI/P2M/471104022890/BALA SEKHARAN AGENCIE/UPI/Yes Bank Ltd</t>
  </si>
  <si>
    <t>UPI/P2A/471148456922/SRIDHAR K/BANK OF B/mp/</t>
  </si>
  <si>
    <t>UPI/P2M/434564041713/ATLAS TOOLS SUPPLIERS/consum/KARUR VYSA BANK</t>
  </si>
  <si>
    <t>UPI/P2M/434542939320/ATLAS TOOLS SUPPLIERS/consum/Karur Vysya Bank</t>
  </si>
  <si>
    <t>UPI/P2M/471194340657/ATLAS TOOLS SUPPLIERS/consum/Karur Vysya Bank</t>
  </si>
  <si>
    <t>IMPS/P2A/434515257822/VISMAASS/KARURVYS/EXPENSES/9199947334669053000</t>
  </si>
  <si>
    <t>UPI/P2A/471102752009/Mr Sathish Kumar S   /o2 cyl/INDIAN BANK</t>
  </si>
  <si>
    <t>UPI/P2A/434596556386/SRIDHAR K M          /mp ret/BANK OF BARODA</t>
  </si>
  <si>
    <t>IMPS/P2A/434517265764/VISMAASS/KARURVYS/AT/9199947334669053000</t>
  </si>
  <si>
    <t>UPI/P2A/434574459580/ACCUSPIRALS          /inv 01/ICICI Bank</t>
  </si>
  <si>
    <t>UPI/P2A/434549266266/ACCUSPIRALS          /inv 01/ICICI Bank</t>
  </si>
  <si>
    <t>UPI/P2M/434503164631/Mr P MUNIAPPAN       /UPI/Yes Bank Ltd</t>
  </si>
  <si>
    <t>UPI/P2A/471101891152/ARJUNAN  S           /site e/State Bank Of India</t>
  </si>
  <si>
    <t>DR/CR</t>
  </si>
  <si>
    <t>Travel Expenses</t>
  </si>
  <si>
    <t>TRUCK EXP</t>
  </si>
  <si>
    <t>Transport Expenses</t>
  </si>
  <si>
    <t>LABOUR auto exp</t>
  </si>
  <si>
    <t>MAAC ENGG SOLUTIONS</t>
  </si>
  <si>
    <t>RINCY</t>
  </si>
  <si>
    <t xml:space="preserve"> SITE EXP</t>
  </si>
  <si>
    <t>PAINTING LABOUR</t>
  </si>
  <si>
    <t>SHARUKKAN</t>
  </si>
  <si>
    <t>SREE COATS</t>
  </si>
  <si>
    <t>SHANMUGAM SAPPAIYA</t>
  </si>
  <si>
    <t>DIESEL</t>
  </si>
  <si>
    <t>WELDING MACHINE SERVICE</t>
  </si>
  <si>
    <t>PIONEER WELDING</t>
  </si>
  <si>
    <t>kk soft wares and sys</t>
  </si>
  <si>
    <t>staad data license renewal</t>
  </si>
  <si>
    <t>office</t>
  </si>
  <si>
    <t>premier</t>
  </si>
  <si>
    <t>old lady</t>
  </si>
  <si>
    <t>gowtham</t>
  </si>
  <si>
    <t>Amount Transfer</t>
  </si>
  <si>
    <t>return</t>
  </si>
  <si>
    <t>ar</t>
  </si>
  <si>
    <t>sundarajan</t>
  </si>
  <si>
    <t>safty fencing</t>
  </si>
  <si>
    <t>ESSKAY STEELS</t>
  </si>
  <si>
    <t>KARUPPSAMY</t>
  </si>
  <si>
    <t>SATHISHKUMAR</t>
  </si>
  <si>
    <t>MK CLASSIC HOMES</t>
  </si>
  <si>
    <t>SALARY AC</t>
  </si>
  <si>
    <t>SALARY ADVANCE</t>
  </si>
  <si>
    <t>FACTORY STAFF</t>
  </si>
  <si>
    <t>SENTHIL ANDAVAR</t>
  </si>
  <si>
    <t>JANARTHANAN R</t>
  </si>
  <si>
    <t>DUTIES TAX</t>
  </si>
  <si>
    <t>CBDT TAX</t>
  </si>
  <si>
    <t>DT</t>
  </si>
  <si>
    <t>UPI/P2M/434243645993 /UPI/Yes Bank Ltd</t>
  </si>
  <si>
    <t>PERSONAL AC</t>
  </si>
  <si>
    <t>STAFF ROOM RENT</t>
  </si>
  <si>
    <t>CRANE RENT /HYDRA</t>
  </si>
  <si>
    <t>VINODH KUMAR</t>
  </si>
  <si>
    <t>3 SYSTEM ANTIVIRAS</t>
  </si>
  <si>
    <t>LABOUR FOOD EXP</t>
  </si>
  <si>
    <t>CCTV WIFI RECHARGE</t>
  </si>
  <si>
    <t>Goole India service</t>
  </si>
  <si>
    <t>factory</t>
  </si>
  <si>
    <t xml:space="preserve">cutting wheel </t>
  </si>
  <si>
    <t>thamburaj</t>
  </si>
  <si>
    <t>auditor fees</t>
  </si>
  <si>
    <t>dhandapani</t>
  </si>
  <si>
    <t>arjun</t>
  </si>
  <si>
    <t>bala sekaran</t>
  </si>
  <si>
    <t>petrol</t>
  </si>
  <si>
    <t>return payment</t>
  </si>
  <si>
    <t>CONSUMABLS</t>
  </si>
  <si>
    <t>ATLAS TOOLS SUPPLIERS</t>
  </si>
  <si>
    <t>BEVEL GEAR BOX</t>
  </si>
  <si>
    <t>ACCUSPIRALS</t>
  </si>
  <si>
    <t>MUNIAPPAN</t>
  </si>
  <si>
    <t>11-12-2024</t>
  </si>
  <si>
    <t>UPI/P2M/434691922735/MOHANRAJ M           /UPI/Yes Bank Ltd</t>
  </si>
  <si>
    <t>UPI/P2A/434637829065/T  SIVARAJ           /diesel/Kotak Mahindra Bank</t>
  </si>
  <si>
    <t>UPI/P2A/434666637838/JANARTHANAN R        /site e/CANARA BANK</t>
  </si>
  <si>
    <t>UPI/P2M/471268846215/DEEPAK M             /UPI/Yes Bank Ltd</t>
  </si>
  <si>
    <t>UPI/P2A/434611544456/JANARTHANAN R        /site e/CANARA BANK</t>
  </si>
  <si>
    <t>UPI/P2A/471233741149/DHIVAKAR             /tamil/Tamilnad Mercantile</t>
  </si>
  <si>
    <t>12-12-2024</t>
  </si>
  <si>
    <t>UPI/P2A/471350268036/SRIDHAR K/BANK OF B/expenses/</t>
  </si>
  <si>
    <t>UPI/P2A/471334893248/S  Seethalakshmi     /office/State Bank Of India</t>
  </si>
  <si>
    <t>IMPS/P2A/434714393856/VISMAASS/KARURVYS/AT/9199947334669053000</t>
  </si>
  <si>
    <t>UPI/P2A/471323513800/SRI SARASWATHI WIRE N/materi/INDIAN OVERSEAS BANK</t>
  </si>
  <si>
    <t>UPI/P2A/434778705143/S  Seethalakshmi     /office/State Bank Of India</t>
  </si>
  <si>
    <t>UPI/P2M/434745113361/Mohanraj M           /UPI/AXIS BANK</t>
  </si>
  <si>
    <t>13-12-2024</t>
  </si>
  <si>
    <t>UPI/P2A/471429843638/ARJUNAN  S           /site e/State Bank Of India</t>
  </si>
  <si>
    <t>UPI/P2A/434837659710/KARUPPUSWAMY S       /food e/ICICI Bank</t>
  </si>
  <si>
    <t>UPI/P2A/471478747418/T  SIVARAJ           /weldin/Kotak Mahindra Bank</t>
  </si>
  <si>
    <t>UPI/P2A/471459853733/T  SIVARAJ           /site e/Kotak Mahindra Bank</t>
  </si>
  <si>
    <t>UPI/P2A/434866661552/JANARTHANAN R        /site e/CANARA BANK</t>
  </si>
  <si>
    <t>IMPS/P2A/434813450088/VISMAASS/KARURVYS/SALARY/9199947334669053000</t>
  </si>
  <si>
    <t>UPI/P2M/471470375821/RINCY                /UPI/Yes Bank Ltd</t>
  </si>
  <si>
    <t>UPI/P2M/434812882074/TVS MOBILITY PRIVATE /UPI/Yes Bank Ltd</t>
  </si>
  <si>
    <t>UPI/P2A/471499582685/ARJUNAN  S           /factor/State Bank Of India</t>
  </si>
  <si>
    <t>UPI/P2M/434827583902/ixigo                /IXIGO/ICICI Bank</t>
  </si>
  <si>
    <t>UPI/P2A/434869991325/SATHIYARAJ C         /1 lpg/INDIAN OVERSEAS BANK</t>
  </si>
  <si>
    <t>IMPS/P2A/434818865013//X039268/KOTAKMAHINDRABANKLTD</t>
  </si>
  <si>
    <t>UPI/P2A/434875406727/ARJUNAN  S           /site e/State Bank Of India</t>
  </si>
  <si>
    <t>14-12-2024</t>
  </si>
  <si>
    <t>UPI/P2A/471550922291/THAMBURAJ  RAMALINGAM/bus ti/State Bank Of India</t>
  </si>
  <si>
    <t>UPI/P2M/434928429532/Ramdev Electricals An/consum/AXIS BANK</t>
  </si>
  <si>
    <t>NEFT/KVBLH00224233192/VISMA ASSOCIATES/KARUR VYSYA BANK/NANANA</t>
  </si>
  <si>
    <t>IMPS/P2A/434919527743/VISMAASS/KARURVYS/AT/9199947334669053000</t>
  </si>
  <si>
    <t>INB/NEFT/AXOIC34964792587/Shanmugam sappyan/INDIAN BANK//////</t>
  </si>
  <si>
    <t>INB/NEFT/AXOIC34964797343/MAHALAKSHMI ELECTRICA/CITY UNION BANK LIMI//////</t>
  </si>
  <si>
    <t>UPI/P2A/434923047061/Mr Sharukkan S S     /painti/INDIAN BANK</t>
  </si>
  <si>
    <t>UPI/P2A/434947059375/KALISAMY S           /truck/BANK OF BARODA</t>
  </si>
  <si>
    <t>UPI/P2M/471539849797/Google India Digital /UPI/AXIS BANK</t>
  </si>
  <si>
    <t>UPI/P2A/434947451487/DHIVAKAR             /tamil/Tamilnad Mercantile</t>
  </si>
  <si>
    <t>UPI/P2A/471571860045/ARJUNAN  S           /food e/State Bank Of India</t>
  </si>
  <si>
    <t>15-12-2024</t>
  </si>
  <si>
    <t>UPI/P2A/471633969288/T  SIVARAJ           /laboir/Kotak Mahindra Bank</t>
  </si>
  <si>
    <t>UPI/P2A/435025668589/Satheeshkumar  .     /UPI/State Bank Of India</t>
  </si>
  <si>
    <t>UPI/P2A/435048375533/ARJUNAN  S           /food e/State Bank Of India</t>
  </si>
  <si>
    <t>16-12-2024</t>
  </si>
  <si>
    <t>UPI/P2M/435104985734/DEEPAK M             /UPI/Yes Bank Ltd</t>
  </si>
  <si>
    <t>IMPS/P2A/435119651116/VISMAASS/KARURVYS/AT/9199947334669053000</t>
  </si>
  <si>
    <t>UPI/P2A/435104482356/T  SIVARAJ           /diesel/Kotak Mahindra Bank</t>
  </si>
  <si>
    <t>UPI/P2A/435144093836/MAAC ENGINEERING SOLU/3mm pl/Union Bank of India</t>
  </si>
  <si>
    <t>UPI/P2A/471779477220/Mr V S Udhayakumar   /3 load/CITY UNION BANK LTD</t>
  </si>
  <si>
    <t>UPI/P2A/471752286666/REVATHI J            /2 load/BANK OF BARODA</t>
  </si>
  <si>
    <t>UPI/P2A/471774982469/SRIDHAR K M          /Labour/BANK OF BARODA</t>
  </si>
  <si>
    <t>17-12-2024</t>
  </si>
  <si>
    <t>UPI/P2A/471888999265/THAMBURAJ  RAMALINGAM/seenu/State Bank Of India</t>
  </si>
  <si>
    <t>UPI/P2M/471812615115/Olive Green Fuel Stat/UPI/Yes Bank Ltd</t>
  </si>
  <si>
    <t>UPI/P2M/435299228038/MOHAMED YOUNAS T     /UPI/Yes Bank Ltd</t>
  </si>
  <si>
    <t>IMPS/P2A/435217707130/VISMAASS/KARURVYS/AT/9199947334669053000</t>
  </si>
  <si>
    <t>UPI/P2M/471861328394/123456789            /room r/State Bank Of India</t>
  </si>
  <si>
    <t>UPI/P2A/471824133344/T  SIVARAJ           /site e/Kotak Mahindra Bank</t>
  </si>
  <si>
    <t>UPI/P2A/471861432541/SRIDHAR K M          /UPI/BANK OF BARODA</t>
  </si>
  <si>
    <t>18-12-2024</t>
  </si>
  <si>
    <t>UPI/P2A/435363954963/T  SIVARAJ           /site e/Kotak Mahindra Bank</t>
  </si>
  <si>
    <t>UPI/P2M/435377551324/123456789            /UPI/State Bank Of India</t>
  </si>
  <si>
    <t>UPI/P2M/471990553778/123456789            /UPI/State Bank Of India</t>
  </si>
  <si>
    <t>UPI/P2M/471930798298/AMUTHA SURABHI       /UPI/FEDERAL BANK</t>
  </si>
  <si>
    <t>IMPS/P2A/435320785049/VISMAASS/KARURVYS/AT/9199947334669053000</t>
  </si>
  <si>
    <t>UPI/P2A/435351200546/GAURAV KUMAR         /2 labo/Union Bank of India</t>
  </si>
  <si>
    <t>INB/NEFT/AXOIC35392740436/Shanmugam sappyan/INDIAN BANK//////</t>
  </si>
  <si>
    <t>UPI/P2A/435352215601/DHIVAKAR             /3 tami/TAMILNAD MERCANTILE</t>
  </si>
  <si>
    <t>UPI/P2A/435383810800/SRIDHAR K M          /UPI/BANK OF BARODA</t>
  </si>
  <si>
    <t>UPI/P2M/435343016823/Redbus India Private /UPI/ICICI Bank</t>
  </si>
  <si>
    <t>19-12-2024</t>
  </si>
  <si>
    <t>UPI/P2M/472086827661/Google India Digital /UPI/AXIS BANK</t>
  </si>
  <si>
    <t>UPI/P2A/472060837164/SUDHAGAR M           /UPI/CANARA BANK</t>
  </si>
  <si>
    <t>UPI/P2A/472045865784/SATHIYARAJ C         /1 lpg/INDIAN OVERSEAS BANK</t>
  </si>
  <si>
    <t>UPI/P2A/435401567488/T  SIVARAJ           /food e/Kotak Mahindra Bank</t>
  </si>
  <si>
    <t>UPI/P2A/435401467153/KARUPPUSWAMY S       /food e/ICICI Bank</t>
  </si>
  <si>
    <t>20-12-2024</t>
  </si>
  <si>
    <t>IMPS/P2A/435509869237/VISMAASS/KARURVYS/AT/9199947334669053000</t>
  </si>
  <si>
    <t>UPI/P2A/472108215161/T  SIVARAJ           /site e/Kotak Mahindra Bank</t>
  </si>
  <si>
    <t>UPI/P2M/472156424926/LATHEESH KRISHNAN K  /UPI/Yes Bank Ltd</t>
  </si>
  <si>
    <t>UPI/P2A/472148327225/KARUPPUSWAMY S       /food e/ICICI Bank</t>
  </si>
  <si>
    <t>UPI/P2A/435541628996/JANARTHANAN R        /site e/CANARA BANK</t>
  </si>
  <si>
    <t>UPI/P2A/472112833982/T  SIVARAJ           /consum/Kotak Mahindra Bank</t>
  </si>
  <si>
    <t>IMPS/P2A/435515889984/VISMAASS/KARURVYS/AT/9199947334669053000</t>
  </si>
  <si>
    <t>UPI/P2A/472199928230/SUNDARARAAJ  V       /materi/State Bank Of India</t>
  </si>
  <si>
    <t>IMPS/P2A/435519907613/VISMAASS/KARURVYS/AT/9199947334669053000</t>
  </si>
  <si>
    <t>UPI/P2A/472161760858/KARTHIKEYAN  S       /tamil/State Bank Of India</t>
  </si>
  <si>
    <t>UPI/P2A/435590163843/SRIDHAR K M          /tamil/BANK OF BARODA</t>
  </si>
  <si>
    <t>UPI/P2A/435524965585/THAMBURAJ  RAMALINGAM/bus ti/State Bank Of India</t>
  </si>
  <si>
    <t>UPI/P2M/435577369641/CHELLADURAI RAGUL    /UPI/Yes Bank Ltd</t>
  </si>
  <si>
    <t>UPI/P2M/435552367981/VISHLAKSHI V         /Pay to/FEDERAL BANK</t>
  </si>
  <si>
    <t>UPI/P2M/435594973344/NAMMA KADAI          /UPI/Yes Bank Ltd</t>
  </si>
  <si>
    <t>21-12-2024</t>
  </si>
  <si>
    <t>UPI/P2M/472235978744/CHELLADURAI RAGUL    /UPI/Yes Bank Ltd</t>
  </si>
  <si>
    <t>UPI/P2A/472258793408/JANARTHANAN R        /site e/CANARA BANK</t>
  </si>
  <si>
    <t>IMPS/P2A/435618964825/VISMAASS/KARURVYS/AT/9199947334669053000</t>
  </si>
  <si>
    <t>IMPS/P2A/435618964949/VISMAASS/KARURVYS/AT/9199947334669053000</t>
  </si>
  <si>
    <t>UPI/P2A/472249635897/Mr Sharukkan S S     /painti/INDIAN BANK</t>
  </si>
  <si>
    <t>UPI/P2A/435628733286/SRIDHAR K M          /sivara/BANK OF BARODA</t>
  </si>
  <si>
    <t>UPI/P2A/472296623112/SUMATHI  M           /Anchor/State Bank Of India</t>
  </si>
  <si>
    <t>UPI/P2A/472266726094/T  SIVARAJ           /site e/Kotak Mahindra Bank</t>
  </si>
  <si>
    <t>UPI/P2M/472212337300/SRI VINAYAGA TIFFEN C/UPI/CITY UNION BANK LTD</t>
  </si>
  <si>
    <t>UPI/P2A/472226344450/Mr ARJUNAN  S        /Labour/State Bank Of India</t>
  </si>
  <si>
    <t>UPI/P2A/435688441034/Mr ARJUNAN  S        /weighm/State Bank Of India</t>
  </si>
  <si>
    <t>GST @18% on Monthly Service Ch</t>
  </si>
  <si>
    <t>Monthly Service Chrgs</t>
  </si>
  <si>
    <t>22-12-2024</t>
  </si>
  <si>
    <t>UPI/P2A/435726558810/Mr ARJUNAN  S        /lavoir/State Bank Of India</t>
  </si>
  <si>
    <t>IMPS/P2A/435712005028/VISMAASS/KARURVYS/EXPENSES/9199947334669053000</t>
  </si>
  <si>
    <t>UPI/P2M/472310469797/Nagireddy Mallikarjun/UPI/YES BANK LIMITED YBS</t>
  </si>
  <si>
    <t>INB/NEFT/AXOIC35718531013/Shanmugam sappyan/INDIAN BANK//////</t>
  </si>
  <si>
    <t>UPI/P2M/435754593198/SRI VINAYAGA TIFFEN C/UPI/CITY UNION BANK LTD</t>
  </si>
  <si>
    <t>Mohanraj</t>
  </si>
  <si>
    <t>diesel</t>
  </si>
  <si>
    <t>YAMAHA SHOW ROOM</t>
  </si>
  <si>
    <t>DHIVAKAR</t>
  </si>
  <si>
    <t>TAMIL LABOUR</t>
  </si>
  <si>
    <t xml:space="preserve">Cleaning Exp </t>
  </si>
  <si>
    <t>SRI SARASWATHI WIRE NETTING</t>
  </si>
  <si>
    <t xml:space="preserve">POOJA OIL </t>
  </si>
  <si>
    <t>YAMAHA</t>
  </si>
  <si>
    <t>TVS</t>
  </si>
  <si>
    <t>IXIGO</t>
  </si>
  <si>
    <t>FLIGHT TICKET</t>
  </si>
  <si>
    <t>RAMDEV ELECTRICALS</t>
  </si>
  <si>
    <t>MAHALAKSHMI ELECTRICAL</t>
  </si>
  <si>
    <t>satheesh kumar</t>
  </si>
  <si>
    <t>SAIBA COLONY/ semmozhi park</t>
  </si>
  <si>
    <t>plate temp</t>
  </si>
  <si>
    <t>raw water</t>
  </si>
  <si>
    <t>udhaya kumar</t>
  </si>
  <si>
    <t>Drinking Water</t>
  </si>
  <si>
    <t>revathi</t>
  </si>
  <si>
    <t>labour medical</t>
  </si>
  <si>
    <t>sridhar</t>
  </si>
  <si>
    <t>KADAIKANAL</t>
  </si>
  <si>
    <t>OLIVE</t>
  </si>
  <si>
    <t>TEA OFFICE</t>
  </si>
  <si>
    <t>MOHAMED</t>
  </si>
  <si>
    <t>ROOMRENT</t>
  </si>
  <si>
    <t>ROOM</t>
  </si>
  <si>
    <t>STATE BANK OF INDIA</t>
  </si>
  <si>
    <t>AMUTHA SURABHI</t>
  </si>
  <si>
    <t>SURABHI</t>
  </si>
  <si>
    <t>GAURAV KUMAR</t>
  </si>
  <si>
    <t>DHIYAKAR</t>
  </si>
  <si>
    <t>watch tower</t>
  </si>
  <si>
    <t>hydra crane rent</t>
  </si>
  <si>
    <t>Baashyaam</t>
  </si>
  <si>
    <t>WATER</t>
  </si>
  <si>
    <t>SATHIYARAJ C</t>
  </si>
  <si>
    <t>LATHEESH KRISHNAN</t>
  </si>
  <si>
    <t xml:space="preserve">TAMIL LABOUR </t>
  </si>
  <si>
    <t>CHELLA DURAJ RAGUL</t>
  </si>
  <si>
    <t>VISHLAKSHI</t>
  </si>
  <si>
    <t>NAMMA KADAI</t>
  </si>
  <si>
    <t>SAIBABA RAJESH</t>
  </si>
  <si>
    <t>sridhar/sivaraj paid</t>
  </si>
  <si>
    <t>selvanayaki power steel</t>
  </si>
  <si>
    <t>without bills</t>
  </si>
  <si>
    <t xml:space="preserve">sri vinayaga </t>
  </si>
  <si>
    <t>labour food EXP</t>
  </si>
  <si>
    <t>weightment</t>
  </si>
  <si>
    <t>Bank charges</t>
  </si>
  <si>
    <t>gst</t>
  </si>
  <si>
    <t>gst @18%</t>
  </si>
  <si>
    <t>monthly service charges</t>
  </si>
  <si>
    <t>LABOUR MEDICAL</t>
  </si>
  <si>
    <t>NAGIREDDY MALLIKARJUN</t>
  </si>
  <si>
    <t>SRI VINAGAYA TIFFEN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</si>
  <si>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</si>
  <si>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</si>
  <si>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</si>
  <si>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</si>
  <si>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</si>
  <si>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</si>
  <si>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</si>
  <si>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UPI/P2M/472479000299/CHELLADURAI RAGUL    /UPI/YES BANK LIMITED YBS</t>
  </si>
  <si>
    <t>UPI/P2A/435808102417/Mr MURUGESAN  K      /machin/CITY UNION BANK LTD</t>
  </si>
  <si>
    <t>UPI/P2A/435865909306/T  SIVARAJ           /site e/Kotak Mahindra Bank</t>
  </si>
  <si>
    <t>UPI/P2A/472486006578/Satheeshkumar  .     /UPI/State Bank Of India</t>
  </si>
  <si>
    <t>UPI/P2A/472472709159/T  SIVARAJ           /site e/Kotak Mahindra Bank</t>
  </si>
  <si>
    <t>UPI/P2A/435897919019/DHEEBAK S            /genset/UNION BANK OF INDIA</t>
  </si>
  <si>
    <t>IMPS/P2A/435812058797/VISMAASS/KARURVYS/EXPENSES/9199947334669053000</t>
  </si>
  <si>
    <t>UPI/P2A/472455415286/ARJUNAN  S           /food e/State Bank Of India</t>
  </si>
  <si>
    <t>UPI/P2M/435896814854/ESSKAY STEELS        /UPI/INDIAN OVERSEAS BANK</t>
  </si>
  <si>
    <t>UPI/P2M/435883817651/ESSKAY STEELS        /materi/INDIAN OVERSEAS BANK</t>
  </si>
  <si>
    <t>UPI/P2M/472468320143/HOTEL SAI ANNALAKSHMI/UPI/TAMILNAD MERCANTILE</t>
  </si>
  <si>
    <t>IMPS/P2A/435818086949/VISMAASS/KARURVYS/AT/9199947334669053000</t>
  </si>
  <si>
    <t>UPI/P2M/472437033752/ESSKAY STEELS        /materi/INDIAN OVERSEAS BANK</t>
  </si>
  <si>
    <t>UPI/P2A/472415343427/Mr ARJUNAN  S        /Labour/State Bank Of India</t>
  </si>
  <si>
    <t>UPI/P2M/435847246318/CHELLADURAI RAGUL    /UPI/YES BANK LIMITED YBS</t>
  </si>
  <si>
    <t>UPI/P2A/435934060859/ARJUNAN  S           /diesel/State Bank Of India</t>
  </si>
  <si>
    <t>UPI/P2A/435955274676/KARTHIKEYAN  S       /tamil/State Bank Of India</t>
  </si>
  <si>
    <t>UPI/P2A/472527874776/KARUPPUSWAMY S       /food e/ICICI Bank</t>
  </si>
  <si>
    <t>UPI/P2M/435931183945/VARA MILAGAI NON VEG /UPI/Yes Bank Ltd</t>
  </si>
  <si>
    <t>IMPS/P2A/435914134349/VISMAASS/KARURVYS/AT/9199947334669053000</t>
  </si>
  <si>
    <t>UPI/P2A/435939875645/SHANUJA FABRICATION A/cage b/CANARA BANK</t>
  </si>
  <si>
    <t>UPI/P2A/435996787974/ARJUNAN  S           /salary/State Bank Of India</t>
  </si>
  <si>
    <t>UPI/P2A/435996787974/922020054193306/241224/State Bank Of India</t>
  </si>
  <si>
    <t>UPI/P2A/472594195381/Mr ARJUNAN  S        /salary/State Bank Of India</t>
  </si>
  <si>
    <t>UPI/P2A/472594195381/922020054193306/241224/State Bank Of India</t>
  </si>
  <si>
    <t>UPI/P2A/435999695352/GAURAV KUMAR         /arjun/Union Bank of India</t>
  </si>
  <si>
    <t>UPI/P2M/435930914157/CHELLADURAI RAGUL    /UPI/Yes Bank Ltd</t>
  </si>
  <si>
    <t>IMPS/P2A/435921164224/VISMAASS/KARURVYS/EXPENSES/9199947334669053000</t>
  </si>
  <si>
    <t>UPI/P2M/472511811145/R P Medical          /UPI/AXIS BANK</t>
  </si>
  <si>
    <t>UPI/P2A/472570213423/SUDHEERJI  C N       /tent h/CANARA BANK</t>
  </si>
  <si>
    <t>UPI/P2A/472584101983/KARUPPUSWAMY S       /food t/ICICI Bank</t>
  </si>
  <si>
    <t>UPI/P2A/435919223886/T  SIVARAJ           /machin/Kotak Mahindra Bank</t>
  </si>
  <si>
    <t>UPI/P2A/472645911008/THAMBURAJ  RAMALINGAM/diesel/State Bank Of India</t>
  </si>
  <si>
    <t>UPI/P2M/472633121477/CHELLADURAI RAGUL    /UPI/YES BANK LIMITED YBS</t>
  </si>
  <si>
    <t>UPI/P2A/436065325995/T  SIVARAJ           /diesel/Kotak Mahindra Bank</t>
  </si>
  <si>
    <t>UPI/P2A/472600729505/KARTHIKEYAN  S       /tamil/State Bank Of India</t>
  </si>
  <si>
    <t>IMPS/P2A/436011185985/VISMAASS/KARURVYS/EXPENSE/9199947334669053000</t>
  </si>
  <si>
    <t>UPI/P2A/472655534180/THAMBURAJ  RAMALINGAM/food e/State Bank Of India</t>
  </si>
  <si>
    <t>UPI/P2M/472662135138/Nagireddy Mallikarjun/UPI/Yes Bank Ltd</t>
  </si>
  <si>
    <t>UPI/P2A/472640353966/JANARTHANAN R        /tamil/CANARA BANK</t>
  </si>
  <si>
    <t>UPI/P2M/472666274125/CHELLADURAI RAGUL    /UPI/Yes Bank Ltd</t>
  </si>
  <si>
    <t>UPI/P2M/472685460079/CHELLADURAI RAGUL    /UPI/YES BANK LIMITED YBS</t>
  </si>
  <si>
    <t>UPI/P2M/472708075642/CHELLADURAI RAGUL    /UPI/YES BANK LIMITED YBS</t>
  </si>
  <si>
    <t>UPI/P2A/436118675521/THAMBURAJ  RAMALINGAM/diesel/State Bank Of India</t>
  </si>
  <si>
    <t>UPI/P2A/436111283834/T  SIVARAJ           /cuttin/Kotak Mahindra Bank</t>
  </si>
  <si>
    <t>UPI/P2A/472738884553/THAMBURAJ  RAMALINGAM/diesel/State Bank Of India</t>
  </si>
  <si>
    <t>UPI/P2A/472793184666/Mr ARJUNAN  S        /food e/State Bank Of India</t>
  </si>
  <si>
    <t>UPI/P2A/436186992115/KARTHIKEYAN  S       /Labour/State Bank Of India</t>
  </si>
  <si>
    <t>UPI/P2M/436120292259/CHELLADURAI RAGUL    /UPI/Yes Bank Ltd</t>
  </si>
  <si>
    <t>IMPS/P2A/436114255698/VISMAASS/KARURVYS/AT/9199947334669053000</t>
  </si>
  <si>
    <t>UPI/P2A/472754197823/SRIDHAR K M          /bed bo/BANK OF BARODA</t>
  </si>
  <si>
    <t>UPI/P2A/472759491230/Mr ARJUNAN  S        /UPI/State Bank Of India</t>
  </si>
  <si>
    <t>UPI/P2A/436152401800/JANARTHANAN R        /tamil/CANARA BANK</t>
  </si>
  <si>
    <t>UPI/P2A/472784798032/Mr Sathish Kumar S   /O2 cyl/INDIAN BANK</t>
  </si>
  <si>
    <t>UPI/P2A/436176503423/TAMIL N              /truck/LAVB</t>
  </si>
  <si>
    <t>UPI/P2A/436146511966/KARTHIKEYAN  S       /tamil/State Bank Of India</t>
  </si>
  <si>
    <t>UPI/P2M/436101717363/CHELLADURAI RAGUL    /UPI/Yes Bank Ltd</t>
  </si>
  <si>
    <t>UPI/P2A/436223323268/KARUPPUSWAMY S       /food e/ICICI Bank</t>
  </si>
  <si>
    <t>UPI/P2M/436276826504/CHELLADURAI RAGUL    /UPI/Yes Bank Ltd</t>
  </si>
  <si>
    <t>UPI/P2A/436258429062/THAMBURAJ  RAMALINGAM/diesel/State Bank Of India</t>
  </si>
  <si>
    <t>UPI/P2M/436207432636/Redbus India Private /UPI/ICICI Bank</t>
  </si>
  <si>
    <t>IMPS/P2A/436214327827/VISMAASS/KARURVYS/EXPENSE/9199947334669053000</t>
  </si>
  <si>
    <t>UPI/P2A/436243055645/DHEEBAK S            /genset/UNION BANK OF INDIA</t>
  </si>
  <si>
    <t>UPI/P2A/436213052872/KARTHIKEYAN  S       /tamil/State Bank Of India</t>
  </si>
  <si>
    <t>UPI/P2A/436222948066/T  SIVARAJ           /site e/Kotak Mahindra Bank</t>
  </si>
  <si>
    <t>IMPS/P2A/436220355545/VISMAASS/KARURVYS/AT/9199947334669053000</t>
  </si>
  <si>
    <t>UPI/P2M/436274267986/CHELLADURAI RAGUL    /UPI/YES BANK LIMITED YBS</t>
  </si>
  <si>
    <t>UPI/P2M/436388580455/CHELLADURAI RAGUL    /UPI/YES BANK LIMITED YBS</t>
  </si>
  <si>
    <t>UPI/P2M/436338588449/CHELLADURAI RAGUL    /UPI/YES BANK LIMITED YBS</t>
  </si>
  <si>
    <t>INB/NEFT/AXOIC36358899052/T  SIVARAJ/KOTAK MAHINDRA BANK //////</t>
  </si>
  <si>
    <t>IMPS/P2A/436316576172//X107620/STATEBANKOFINDIA/Off</t>
  </si>
  <si>
    <t>INB/NEFT/AXOIC36359294155/Sridhar KM/BANK OF BARODA/LIFT DRIVER BET/////</t>
  </si>
  <si>
    <t>UPI/P2M/472954827918/CHELLADURAI RAGUL    /UPI/YES BANK LIMITED YBS</t>
  </si>
  <si>
    <t>UPI/P2A/473025941827/DHARMALINGAM S       /UPI/INDIAN OVERSEAS BANK</t>
  </si>
  <si>
    <t>UPI/P2A/473050142341/T  SIVARAJ           /site e/Kotak Mahindra Bank</t>
  </si>
  <si>
    <t>IMPS/P2A/436411441901/VISMAASS/KARURVYS/PROJECTE/9199947334669053000</t>
  </si>
  <si>
    <t>UPI/P2A/473040246559/Mr Sharukkan S S     /painti/INDIAN BANK</t>
  </si>
  <si>
    <t>UPI/P2A/473027249671/CHINNAKKALAI A       /traile/KARUR VYSA BANK</t>
  </si>
  <si>
    <t>UPI/P2A/473001154380/ARUMUGAM ANGAMUTHU   /3 lpg/KARUR VYSA BANK</t>
  </si>
  <si>
    <t>UPI/P2A/473068347844/Mr ARJUNAN  S        /UPI/State Bank Of India</t>
  </si>
  <si>
    <t>INB/NEFT/AXOIC36465419302/Hannah traders/PUNJAB NATIONAL BANK//////</t>
  </si>
  <si>
    <t>UPI/P2A/473071164276/S MAHENDRAN          /hydra/HDFC BANK LTD</t>
  </si>
  <si>
    <t>UPI/P2A/473096754800/Satheeshkumar  .     /UPI/State Bank Of India</t>
  </si>
  <si>
    <t>UPI/P2A/473075059944/KALISAMY S           /UPI/BANK OF BARODA</t>
  </si>
  <si>
    <t>UPI/P2A/473018360245/SATHIYARAJ C         /lpg cy/INDIAN OVERSEAS BANK</t>
  </si>
  <si>
    <t>INB/NEFT/AXOIC36465449344/T  SIVARAJ/KOTAK MAHINDRA BANK //////</t>
  </si>
  <si>
    <t>INB/NEFT/AXOIC36465461842/MAHALAKSHMI ELECTRICA/CITY UNION BANK LIMI//////</t>
  </si>
  <si>
    <t>INB/NEFT/AXOIC36465923168/Karthikayen s/STATE BANK OF INDIA//////</t>
  </si>
  <si>
    <t>GENSET RENT</t>
  </si>
  <si>
    <t>DHEEBAK</t>
  </si>
  <si>
    <t>SAI  ANNALAKSHMI</t>
  </si>
  <si>
    <t xml:space="preserve">LABOUR </t>
  </si>
  <si>
    <t>MR. ARJUN</t>
  </si>
  <si>
    <t>VARA MILAGAI NONVEG</t>
  </si>
  <si>
    <t>CAGE BIN</t>
  </si>
  <si>
    <t>SHANUJA FABRICATION</t>
  </si>
  <si>
    <t xml:space="preserve">ADVANCE </t>
  </si>
  <si>
    <t>GAURAV KUMAR/ ARJUN REC</t>
  </si>
  <si>
    <t>MEDICAL EXP</t>
  </si>
  <si>
    <t xml:space="preserve">RP MEDICAL </t>
  </si>
  <si>
    <t>SUDHEERJI</t>
  </si>
  <si>
    <t>MACHINE SERVICE</t>
  </si>
  <si>
    <t>CHELLADURAJ RAGUL</t>
  </si>
  <si>
    <t xml:space="preserve">THAMBURAJ </t>
  </si>
  <si>
    <t>ARJUNAN</t>
  </si>
  <si>
    <t>BED BOLD</t>
  </si>
  <si>
    <t>SATHISH KUMAR</t>
  </si>
  <si>
    <t>TAMIL n</t>
  </si>
  <si>
    <t>THAMBURAJ RAMALINGAM</t>
  </si>
  <si>
    <t>WATCH TOWER</t>
  </si>
  <si>
    <t>MACHINE RENT</t>
  </si>
  <si>
    <t>MURUGESAN</t>
  </si>
  <si>
    <t>TRAVELLING EXP</t>
  </si>
  <si>
    <t>TAXI</t>
  </si>
  <si>
    <t>DHARMALINGAM</t>
  </si>
  <si>
    <t>ARUMUGAM ANGAMUTU</t>
  </si>
  <si>
    <t>HANNAH TRADERS</t>
  </si>
  <si>
    <t>MAHENDRAN</t>
  </si>
  <si>
    <t>PREMIER/YAMAHA</t>
  </si>
  <si>
    <t>PRE</t>
  </si>
  <si>
    <t>RCML/YAMAHA</t>
  </si>
  <si>
    <t>TRAILE RENT</t>
  </si>
  <si>
    <t>CHINNAKKALAI</t>
  </si>
  <si>
    <t>UPI/P2A/473153195385/Mr ARJUNAN  S        /Labour/State Bank Of India</t>
  </si>
  <si>
    <t>UPI/P2M/436573004792/DEEPAK M             /UPI/Yes Bank Ltd</t>
  </si>
  <si>
    <t>UPI/P2A/436546217029/T  SIVARAJ           /site e/Kotak Mahindra Bank</t>
  </si>
  <si>
    <t>IMPS/P2A/436515522454/VISMAASS/KARURVYS/EXPENSE/9199947334669053000</t>
  </si>
  <si>
    <t>UPI/P2A/436561022543/THIRUMALAISAMY  ARUM /UPI/CANARA BANK</t>
  </si>
  <si>
    <t>UPI/P2A/436545229358/THAMBURAJ  RAMALINGAM/factor/State Bank Of India</t>
  </si>
  <si>
    <t>UPI/P2A/436537530515/ADAIKALASAMY  S      /tamil/INDIAN OVERSEAS BANK</t>
  </si>
  <si>
    <t>INB/NEFT/AXOIC36572700122/Balaji tools/CANARA BANK//////</t>
  </si>
  <si>
    <t>INB/NEFT/AXOIC36572837149/Balaji tools/CANARA BANK//////</t>
  </si>
  <si>
    <t>IMPS/P2A/436519539949/VISMAASS/KARURVYS/AT/9199947334669053000</t>
  </si>
  <si>
    <t>INB/NEFT/AXOIC36573091433/Karthikayen s/STATE BANK OF INDIA//////</t>
  </si>
  <si>
    <t>UPI/P2A/436667159765/Mr ARJUNAN  S        /Labour/State Bank Of India</t>
  </si>
  <si>
    <t>UPI/P2A/436631165339/KANDIYAN MUTHTHIAH   /taxi r/BANK OF BARODA</t>
  </si>
  <si>
    <t>UPI/P2A/436668875151/Mrs PREMILA JULIET   /auto r/INDIAN BANK</t>
  </si>
  <si>
    <t>INB/NEFT/AXOIC36678597493/Seethalakshmi/STATE BANK OF INDIA//////</t>
  </si>
  <si>
    <t>UPI/P2M/436622379852/Google India Service /UPI/ICICI Bank</t>
  </si>
  <si>
    <t>UPI/P2M/436649686065/Shanthi Petrol Bunk  /UPI/Yes Bank Ltd</t>
  </si>
  <si>
    <t>UPI/P2M/436622883641/J K RESORT           /UPI/AXIS BANK</t>
  </si>
  <si>
    <t>IMPS/P2A/436616312510//X039268/KOTAKMAHINDRABANKLTD</t>
  </si>
  <si>
    <t>UPI/P2M/473229918055/J K RESORT           /UPI/AXIS BANK</t>
  </si>
  <si>
    <t>30-12-2024</t>
  </si>
  <si>
    <t>31-12-2024</t>
  </si>
  <si>
    <t>THAMBURAJ RAMALAINGAM</t>
  </si>
  <si>
    <t>LABOUR TAMIL</t>
  </si>
  <si>
    <t>ADAIKALASAMY</t>
  </si>
  <si>
    <t>BALAJI TOOLS</t>
  </si>
  <si>
    <t>TAXI RENT</t>
  </si>
  <si>
    <t>KANDIYAN MUTHAIAH</t>
  </si>
  <si>
    <t>PREMILA JULIET</t>
  </si>
  <si>
    <t>Seetha lakshmi</t>
  </si>
  <si>
    <t>shanthi petrol bunk</t>
  </si>
  <si>
    <t>j k resort</t>
  </si>
  <si>
    <t>kotak mahindra bank</t>
  </si>
  <si>
    <t>Tea EXP</t>
  </si>
  <si>
    <t>Room Rent</t>
  </si>
  <si>
    <t>Petrol</t>
  </si>
  <si>
    <t>CASH GAVE TO BALAJI SIR</t>
  </si>
  <si>
    <t>SALEM</t>
  </si>
  <si>
    <t>THIRUMALAISAMY</t>
  </si>
  <si>
    <t>IMPS-433615716864-RAJEEB KUMAR SAHANI-SBIN-xxxxxxx4901-LABOUR ADVANCE</t>
  </si>
  <si>
    <t>RAJEEB KUMAR</t>
  </si>
  <si>
    <t>IMPS-433812818547-V BALAJI RANGANATHAN-UTIB-xxxxxxxxxxx7161-SALARY</t>
  </si>
  <si>
    <t>CAPITAL</t>
  </si>
  <si>
    <t>Balaji Ranganathan</t>
  </si>
  <si>
    <t>IMPS-433812818596-VISMAASSOCIATES-UTIB-xxxxxxxxxxx3306-AT</t>
  </si>
  <si>
    <t>axis bank</t>
  </si>
  <si>
    <t>IMPS-433812818665-POWER STEELS-UTIB-xxxxxxxxxxx0657-MATERIAL PURCHASE</t>
  </si>
  <si>
    <t>IMPS-433917896922-POWER STEELS-UTIB-xxxxxxxxxxx0657-MATERIAL PURCHADE</t>
  </si>
  <si>
    <t>IMPS-433921913727-MAYAN FABRICATION-HDFC-xxxxxxxxxx9420-CONTRACTOR ADVANCE</t>
  </si>
  <si>
    <t>LABOUR CONTRACTOR PAYMENT</t>
  </si>
  <si>
    <t>LCP</t>
  </si>
  <si>
    <t>MAYAN</t>
  </si>
  <si>
    <t>To Clg:ECS BD-TATA MF - NACH</t>
  </si>
  <si>
    <t>INVESTMENT AC</t>
  </si>
  <si>
    <t>INV</t>
  </si>
  <si>
    <t>TATA MF NACH</t>
  </si>
  <si>
    <t>To Clg:ECS TP ACH NIPPON IND MF - NACH</t>
  </si>
  <si>
    <t>ACH NIPPON IND MF NACH</t>
  </si>
  <si>
    <t>NEFT CR-BARB0COIMBA-PREMIER FINE LINENS PVT LTD-Visma Associates-BARBD24340462418</t>
  </si>
  <si>
    <t>client Payment</t>
  </si>
  <si>
    <t>CP</t>
  </si>
  <si>
    <t>NEFT CR-BARB0COIMBA-PREMIER FINE LINENS PVT LTD-Visma Associates-BARBD24340484014</t>
  </si>
  <si>
    <t>IMPS-434110990708-POWER STEELS-UTIB-xxxxxxxxxxx0657-MATERIAL PUTCHASE</t>
  </si>
  <si>
    <t>mp</t>
  </si>
  <si>
    <t>IMPS-434112000925-POWER STEELS-UTIB-xxxxxxxxxxx0657-MATERUAL PURCHASE</t>
  </si>
  <si>
    <t>IMPS-434118021167-MJK INDUSTRIES-BARB-xxxxxxxxxx1566-MATERIAL PURCHASE</t>
  </si>
  <si>
    <t>mjk industries</t>
  </si>
  <si>
    <t>IMPS-434119026806-MAYAN FABRICATION-HDFC-xxxxxxxxxx9420-CONTRACTOR PAYMENT</t>
  </si>
  <si>
    <t>NEFT DR-N342240223657885-VISMAASSOCIATES-UTIB0000477-MUMBAI-FORT</t>
  </si>
  <si>
    <t>IMPS-434213059737-VISMAASSOCIATES-UTIB-xxxxxxxxxxx3306-EXPENSE</t>
  </si>
  <si>
    <t>IMPS-434217069305-MAYAN FABRICATION-HDFC-xxxxxxxxxx9420-CONRACTOR PAYMENT</t>
  </si>
  <si>
    <t>IMPS-434217069376-VISMAASSOCIATES-UTIB-xxxxxxxxxxx3306-EXPENSES</t>
  </si>
  <si>
    <t>IMPS-434316125530-RAJEEB KUMAR SAHANI-SBIN-xxxxxxx4901-LABOUR ADVANCE</t>
  </si>
  <si>
    <t>IMPS-434319132675-THAMBUDURAI-SBIN-xxxxxxx7747-SALARY</t>
  </si>
  <si>
    <t>salary Ac</t>
  </si>
  <si>
    <t>sal</t>
  </si>
  <si>
    <t>IMPS-434319132705-SIVARAJ-KKBK-xxxxxx9268-SALARY</t>
  </si>
  <si>
    <t>IMPS-434319132735-RAJEEB KUMAR SAHANI-SBIN-xxxxxxx4901-LABOUR ADVANCE</t>
  </si>
  <si>
    <t>IMPS-434319135203-ARJUN-SBIN-xxxxxxx3660-SALARY</t>
  </si>
  <si>
    <t>IMPS-434319132898-SEETHA-SBIN-xxxxxxx3405-SALARY</t>
  </si>
  <si>
    <t>seetha</t>
  </si>
  <si>
    <t>IMPS-434319132964-GOWTHAM-SBIN-xxxxxxx7620-SALARY</t>
  </si>
  <si>
    <t>Gowtham</t>
  </si>
  <si>
    <t>IMPS-434319133024-visnu-KKBK-xxxxxx8020-SALARY</t>
  </si>
  <si>
    <t>vishnu</t>
  </si>
  <si>
    <t>IMPS-434319133065-K M SRIDHAR-BARB-xxxxxxxxxx7517-SALARY</t>
  </si>
  <si>
    <t>IMPS-434411170622-VETRI-SBIN-xxxxxxx7589-SALARY</t>
  </si>
  <si>
    <t>vetri</t>
  </si>
  <si>
    <t>RTGS DR-CNRB0001204-karpagam steels canar-MUMBAI-FORT-KVBLR52024120955418857</t>
  </si>
  <si>
    <t>karpagam steel</t>
  </si>
  <si>
    <t>SEMMOZHI</t>
  </si>
  <si>
    <t>IMPS-434418201444-VISMAASSOCIATES-UTIB-xxxxxxxxxxx3306-AT</t>
  </si>
  <si>
    <t>IMPS-434419206408-MAYAN FABRICATION-HDFC-xxxxxxxxxx9420-CONTRAC ADVANCE</t>
  </si>
  <si>
    <t xml:space="preserve">Labour contractors payment </t>
  </si>
  <si>
    <t>IMPS-434515257822-VISMAASSOCIATES-UTIB-xxxxxxxxxxx3306-EXPENSES</t>
  </si>
  <si>
    <t>IMPS-434517265764-VISMAASSOCIATES-UTIB-xxxxxxxxxxx3306-AT</t>
  </si>
  <si>
    <t>IMPS-434619353951-MAYAN FABRICATION-HDFC-xxxxxxxxxx9420-CONTRAC PAYMENT</t>
  </si>
  <si>
    <t>IMPS-434620362405-RAJAMMAL A-SBIN-xxxxxxx4048-OFFICE RENT</t>
  </si>
  <si>
    <t>OFFICE EXPENSE</t>
  </si>
  <si>
    <t xml:space="preserve">RAJAMMAL </t>
  </si>
  <si>
    <t>IMPS-434620362460-SHRI ANNAI RAJA-CNRB-xxxxxxxx1204-CHIT Amount</t>
  </si>
  <si>
    <t>SHRI ANNA RAJA</t>
  </si>
  <si>
    <t>IMPS-434620362481-KARUPPUSWAMY-ICIC-xxxxxxxx5217-SALARY</t>
  </si>
  <si>
    <t>IMPS-434714393856-VISMAASSOCIATES-UTIB-xxxxxxxxxxx3306-AT</t>
  </si>
  <si>
    <t>MB-WITHIN-DR:XXXX4008-CR:XXXX0118-931571493723-MATERIAL PURCHASE</t>
  </si>
  <si>
    <t>HINDUSTHAN</t>
  </si>
  <si>
    <t>IMPS-434714393914-SUNDARARAAJ-SBIN-xxxxxxx4577-SALARY</t>
  </si>
  <si>
    <t xml:space="preserve">SUNDARAJ </t>
  </si>
  <si>
    <t>IMPS-434714393950-SAMUNDEESWARI-KKBK-xxxxxx7531-SALARY</t>
  </si>
  <si>
    <t>SAMUNDEARI</t>
  </si>
  <si>
    <t>IMPS-434720416245-MARAGATHAM K-BARB-xxxxxxxxxx1187-SALARY</t>
  </si>
  <si>
    <t>maragatham</t>
  </si>
  <si>
    <t>IMPS-434813450088-VISMAASSOCIATES-UTIB-xxxxxxxxxxx3306-SALARY</t>
  </si>
  <si>
    <t>IMPS-434813450295-V BALAJI RANGANATHAN-UTIB-xxxxxxxxxxx7161-SALARY</t>
  </si>
  <si>
    <t>IMPS-434918522984-V BALAJI RANGANATHAN-UTIB-xxxxxxxxxxx7161-FOR CAR SERVICE</t>
  </si>
  <si>
    <t>NEFT DR-KVBLH00224233192-VISMAASSOCIATES-UTIB0000477-MUMBAI-FORT</t>
  </si>
  <si>
    <t>IMPS-434919527729-MAYAN FABRICATION-HDFC-xxxxxxxxxx9420-CONTRACTOR PAYMENT</t>
  </si>
  <si>
    <t>IMPS-434919527743-VISMAASSOCIATES-UTIB-xxxxxxxxxxx3306-AT</t>
  </si>
  <si>
    <t>IMPS-434919527773-RAJEEB KUMAR SAHANI-SBIN-xxxxxxx4901-LABOUR ADVANCE</t>
  </si>
  <si>
    <t>IMPS-435016571282-RAJEEB KUMAR SAHANI-SBIN-xxxxxxx4901-LABOUR ADVANCE</t>
  </si>
  <si>
    <t>IMPS-435016571582-RAJEEB KUMAR SAHANI-SBIN-xxxxxxx4901-LABOUR PAYMENT</t>
  </si>
  <si>
    <t>IMPS-435119651116-VISMAASSOCIATES-UTIB-xxxxxxxxxxx3306-AT</t>
  </si>
  <si>
    <t>BY CLG:BAASHYAAM:HDFC Bank - 16-DEC-24</t>
  </si>
  <si>
    <t>IMPS-435210668380-MAYAN FABRICATION-HDFC-xxxxxxxxxx9420-CONTRACTOR PAYMENT</t>
  </si>
  <si>
    <t>IMPS-435217707130-VISMAASSOCIATES-UTIB-xxxxxxxxxxx3306-AT</t>
  </si>
  <si>
    <t>IMPS-435217703650-V BALAJI RANGANATHAN-UTIB-xxxxxxxxxxx7161-SALARY</t>
  </si>
  <si>
    <t>IMPS-435220720334-V BALAJI RANGANATHAN-UTIB-xxxxxxxxxxx7161-SALARY</t>
  </si>
  <si>
    <t>IMPS-435320785049-VISMAASSOCIATES-UTIB-xxxxxxxxxxx3306-AT</t>
  </si>
  <si>
    <t>IMPS-435415822656-ARJUN-SBIN-xxxxxxx3660-SALARY</t>
  </si>
  <si>
    <t>NEFT CR-IDIB000B027-SHANMATHI CONSTRUCTIONS PRIVATE LIM-VISMA ASSOCIATES-IDIBH24354302655</t>
  </si>
  <si>
    <t>SHANMATHI CONSTRUCTION</t>
  </si>
  <si>
    <t>IMPS-435509869237-VISMAASSOCIATES-UTIB-xxxxxxxxxxx3306-AT</t>
  </si>
  <si>
    <t>IMPS-435509869259-VETRI-SBIN-xxxxxxx7589-SALARY</t>
  </si>
  <si>
    <t>VETRI</t>
  </si>
  <si>
    <t>IMPS-435515889984-VISMAASSOCIATES-UTIB-xxxxxxxxxxx3306-AT</t>
  </si>
  <si>
    <t>IMPS-435519907613-VISMAASSOCIATES-UTIB-xxxxxxxxxxx3306-AT</t>
  </si>
  <si>
    <t>IMPS-435519890562-V BALAJI RANGANATHAN-UTIB-xxxxxxxxxxx7161-SALARY</t>
  </si>
  <si>
    <t>RTGS DR-CNRB0001204-karpagam steels canar-MUMBAI-FORT-KVBLR52024122155650276</t>
  </si>
  <si>
    <t>IMPS-435618964825-VISMAASSOCIATES-UTIB-xxxxxxxxxxx3306-AT</t>
  </si>
  <si>
    <t>IMPS-435618964949-VISMAASSOCIATES-UTIB-xxxxxxxxxxx3306-AT</t>
  </si>
  <si>
    <t>IMPS-435618964972-MAYAN FABRICATION-HDFC-xxxxxxxxxx9420-CONTRAC PAYMENT</t>
  </si>
  <si>
    <t>IMPS-435712005028-VISMAASSOCIATES-UTIB-xxxxxxxxxxx3306-EXPENSES</t>
  </si>
  <si>
    <t>IMPS-435716017008-RAJEEB KUMAR SAHANI-SBIN-xxxxxxx4901-LABOUR ADVANCE</t>
  </si>
  <si>
    <t>RTGS DR-CNRB0001204-karpagam steels canar-MUMBAI-FORT-KVBLR52024122355671901</t>
  </si>
  <si>
    <t>IMPS-435812058797-VISMAASSOCIATES-UTIB-xxxxxxxxxxx3306-EXPENSES</t>
  </si>
  <si>
    <t>IMPS-435818086949-VISMAASSOCIATES-UTIB-xxxxxxxxxxx3306-AT</t>
  </si>
  <si>
    <t>IMPS-435818086988-MAYAN FABRICATION-HDFC-xxxxxxxxxx9420-CONTRACTOR PAYMENT</t>
  </si>
  <si>
    <t>IMPS-435818087048-MARAGATHAM K-BARB-xxxxxxxxxx1187-CONTRACTOR PAYMENT</t>
  </si>
  <si>
    <t>IMPS-435914134349-VISMAASSOCIATES-UTIB-xxxxxxxxxxx3306-AT</t>
  </si>
  <si>
    <t>NEFT DR-KVBLH00224912224-RAJEEB KUMAR SAHANI-SBIN0006015-MUMBAI-FORT</t>
  </si>
  <si>
    <t>IMPS-435921164224-VISMAASSOCIATES-UTIB-xxxxxxxxxxx3306-EXPENSES</t>
  </si>
  <si>
    <t>IMPS-436009177016-THAMBUDURAI-SBIN-xxxxxxx7747-SALARY</t>
  </si>
  <si>
    <t>IMPS-436011185985-VISMAASSOCIATES-UTIB-xxxxxxxxxxx3306-EXPENSE</t>
  </si>
  <si>
    <t>IMPS-436021224149-VETRI-SBIN-xxxxxxx7589-SALARY</t>
  </si>
  <si>
    <t>IMPS-436021224539-RAJEEB KUMAR SAHANI-SBIN-xxxxxxx4901-LABOUR PAYMENT</t>
  </si>
  <si>
    <t>IMPS-436114255698-VISMAASSOCIATES-UTIB-xxxxxxxxxxx3306-AT</t>
  </si>
  <si>
    <t>RTGS DR-UTIB0001108-TRICHY  TMK-MUMBAI-FORT-KVBLR52024122655735931</t>
  </si>
  <si>
    <t xml:space="preserve">TMK </t>
  </si>
  <si>
    <t>RTGS DR-CNRB0001204-karpagam steels canar-MUMBAI-FORT-KVBLR52024122655731118</t>
  </si>
  <si>
    <t>NEFT CR-CIUB0000001-BAASHYAAMINFRASTRUCTUREPVTLTD-VISMAASOCIATES-CIUBH24361039068</t>
  </si>
  <si>
    <t>IMPS-436214327827-VISMAASSOCIATES-UTIB-xxxxxxxxxxx3306-EXPENSE</t>
  </si>
  <si>
    <t>IMPS-436214322780-V BALAJI RANGANATHAN-UTIB-xxxxxxxxxxx7161-SALARY</t>
  </si>
  <si>
    <t>IMPS-436220355545-VISMAASSOCIATES-UTIB-xxxxxxxxxxx3306-AT</t>
  </si>
  <si>
    <t>IMPS-436411441901-VISMAASSOCIATES-UTIB-xxxxxxxxxxx3306-PROJECT EXPENSES</t>
  </si>
  <si>
    <t>IMPS-436414451259-RAJEEB KUMAR SAHANI-SBIN-xxxxxxx4901-SALARY ADVANCE</t>
  </si>
  <si>
    <t>SMS Charges for DEC2024</t>
  </si>
  <si>
    <t>BANK CHARGES</t>
  </si>
  <si>
    <t>SMS CHARGES</t>
  </si>
  <si>
    <t>IMPS-436515522454-VISMAASSOCIATES-UTIB-xxxxxxxxxxx3306-EXPENSE</t>
  </si>
  <si>
    <t>IMPS-436518536115-INDLAS-UBIN-xxxxxxxxxxx7849-MATERIAL PURCHASE</t>
  </si>
  <si>
    <t>INDLAS</t>
  </si>
  <si>
    <t>IMPS-436519539949-VISMAASSOCIATES-UTIB-xxxxxxxxxxx3306-AT</t>
  </si>
  <si>
    <t>NEFT DR-KVBLH00225338654-VETRI-SBIN0000990-MUMBAI-FORT</t>
  </si>
  <si>
    <t>SALARY</t>
  </si>
  <si>
    <t>OFfice exp</t>
  </si>
  <si>
    <t>POWDER COADING</t>
  </si>
  <si>
    <t xml:space="preserve">FACTORY </t>
  </si>
  <si>
    <t>TRUCK</t>
  </si>
  <si>
    <t>SUMAN YADHAV</t>
  </si>
  <si>
    <t>SVEM</t>
  </si>
  <si>
    <t>LABOUR ADVANCE</t>
  </si>
  <si>
    <t>RCH</t>
  </si>
  <si>
    <t>BLVL</t>
  </si>
  <si>
    <t>ERECTION TEAM</t>
  </si>
  <si>
    <t>TRAILER</t>
  </si>
  <si>
    <t>LABOUR TEA</t>
  </si>
  <si>
    <t>dd</t>
  </si>
  <si>
    <t>s.no</t>
  </si>
  <si>
    <t>L</t>
  </si>
  <si>
    <t>RCH CT</t>
  </si>
  <si>
    <t>RCH DINNING</t>
  </si>
  <si>
    <t>01/11/2025</t>
  </si>
  <si>
    <t>02/11/2025</t>
  </si>
  <si>
    <t>03/11/2025</t>
  </si>
  <si>
    <t>05/11/2025</t>
  </si>
  <si>
    <t>06/11/2025</t>
  </si>
  <si>
    <t>07/11/2025</t>
  </si>
  <si>
    <t>08/11/2025</t>
  </si>
  <si>
    <t>10/11/2025</t>
  </si>
  <si>
    <t>UPI/P2M/530596132782/Thangamani Agencies  /UPI/YES BANK LIMITED YBS</t>
  </si>
  <si>
    <t>UPI/P2M/530572249365/MURUGAVEL P          /UPI/YES BANK LIMITED YBS</t>
  </si>
  <si>
    <t>UPI/P2A/530583289327/SRIDHAR K/BANK OF B/kedar me/</t>
  </si>
  <si>
    <t>UPI/P2A/530501068549/SUMAN YADAV          /Labour/UNION BANK OF INDIA</t>
  </si>
  <si>
    <t>NEFT/KVBLH00247440756/VISMA ASSOCIATES/KARUR VYSYA BANK/NA/NANA/NANA/NA</t>
  </si>
  <si>
    <t>INB/NEFT/AXOIC30524477568/Sridhar KM/BANK OF BARODA/</t>
  </si>
  <si>
    <t>INB/NEFT/AXOIC30524482706/S MAHENDRAN/HDFC BANK/</t>
  </si>
  <si>
    <t>INB/NEFT/AXOIC30524488012/Sri kasj engineering/KARUR VYSYA BANK/</t>
  </si>
  <si>
    <t>INB/NEFT/AXOIC30524496258/MAHALAKSHMI ELECTRICA/CITY UNION BANK LIMI/</t>
  </si>
  <si>
    <t>INB/NEFT/AXOIC30524499125/Unique products/STATE BANK OF INDIA/</t>
  </si>
  <si>
    <t>INB/NEFT/AXOIC30524511435/SUMAN YADAV/UNION BANK OF INDIA/</t>
  </si>
  <si>
    <t>INB/NEFT/AXOIC30524515451/Sridhar KM/BANK OF BARODA/</t>
  </si>
  <si>
    <t>UPI/P2A/567126604150/RAMKI RAM R          /auto r/DBS BANK INDIA LIMIT</t>
  </si>
  <si>
    <t>UPI/P2A/530550292256/CHINNAKKALAI A       /traile/KARUR VYSA BANK</t>
  </si>
  <si>
    <t>UPI/P2A/530594197114/SHANMUGAPRIYA M      /auto r/CANARA BANK</t>
  </si>
  <si>
    <t>UPI/P2A/530571487156/KALISAMY S           /truck/BANK OF BARODA</t>
  </si>
  <si>
    <t>UPI/P2A/530553099841/Satheeshkumar  .     /Labour/State Bank Of India</t>
  </si>
  <si>
    <t>UPI/P2A/530527591605/MS LMS TRANSPORT AND /truck/INDIAN BANK</t>
  </si>
  <si>
    <t>UPI/P2A/530588098861/ARUMUGAM ANGAMUTHU   /2 lpg/KARUR VYSA BANK</t>
  </si>
  <si>
    <t>UPI/P2A/530598588064/SASTHA CRANE SERVICE /crane/KARUR VYSA BANK</t>
  </si>
  <si>
    <t>UPI/P2A/530544490368/Master R Santhosh Kum/proper/INDIAN BANK</t>
  </si>
  <si>
    <t>UPI/P2A/567298239660/GOVINTHAN  P         /Labour/State Bank Of India</t>
  </si>
  <si>
    <t>UPI/P2A/530748233512/Mr V S Udhayakumar   /raw wa/CITY UNION BANK LTD</t>
  </si>
  <si>
    <t>UPI/P2A/530793135517/REVATHI J            /2 week/BANK OF BARODA</t>
  </si>
  <si>
    <t>UPI/P2A/530789830167/TAMILARASAN M        /Labour/UNION BANK OF INDIA</t>
  </si>
  <si>
    <t>UPI/P2A/530785938761/Mr Karthik Chinnadura/traile/INDIAN BANK</t>
  </si>
  <si>
    <t>UPI/P2A/530715940370/K SENTHIL KUMAR      /ups se/INDIAN OVERSEAS BANK</t>
  </si>
  <si>
    <t>UPI/P2A/530788948195/SKY ROOFING AND STRUC/4 upvc/AXIS BANK</t>
  </si>
  <si>
    <t>UPI/P2A/530732637148/VELCHAMY U           /weighm/INDIAN OVERSEAS BANK</t>
  </si>
  <si>
    <t>IMPS/P2A/530716287880/VISMAASS/KARURVYS/exp/9199947334669053000</t>
  </si>
  <si>
    <t>INB/NEFT/AXOIC30739905157/KATHA DESIGNS/ICICI BANK LIMITED/</t>
  </si>
  <si>
    <t>UPI/P2A/530762499397/SHANMUGAPRIYA M      /auto r/CANARA BANK</t>
  </si>
  <si>
    <t>IMPS/P2A/530720318088/VISMAASS/KARURVYS/exp/9199947334669053000</t>
  </si>
  <si>
    <t>UPI/P2A/567317016860/GOVINTHAN  P         /labour/State Bank Of India</t>
  </si>
  <si>
    <t>UPI/P2A/530918944472/T  SIVARAJ           /factor/INDIAN OVERSEAS BANK</t>
  </si>
  <si>
    <t>UPI/P2M/530992650965/Google India Digital /UPI/AXIS BANK</t>
  </si>
  <si>
    <t>UPI/P2A/530957640872/SRI KASJ ENGINEERIN  /mp for/KARUR VYSA BANK</t>
  </si>
  <si>
    <t>UPI/P2A/567566563543/SRIDHAR K/BANK OF B/UPI/</t>
  </si>
  <si>
    <t>UPI/P2A/530920560946/S VINODHINI          /proter/INDIAN OVERSEAS BANK</t>
  </si>
  <si>
    <t>IMPS/P2A/530919534881/VISMAASS/KARURVYS/EXP/9199947334669053000</t>
  </si>
  <si>
    <t>UPI/P2A/567596505396/SRIDHAR K M          /traile/BANK OF BARODA</t>
  </si>
  <si>
    <t>UPI/P2M/567604137586/Google India Service /UPI/ICICI Bank</t>
  </si>
  <si>
    <t>UPI/P2M/567658951013/Google India Service /UPI/ICICI Bank</t>
  </si>
  <si>
    <t>UPI/P2A/567688271613/THAMBURAJAN  R       /screw/State Bank Of India</t>
  </si>
  <si>
    <t>IMPS/P2A/531018652931/VISMAASS/KARURVYS/exp/9199947334669053000</t>
  </si>
  <si>
    <t>RTGS/KVBLR52025110661865789/VISMA ASSOCIATES/KARUR VYSYA BANK//FAST/</t>
  </si>
  <si>
    <t>UPI/P2M/101902719161/CBDT                 /Upi Tr/HDFC BANK LTD</t>
  </si>
  <si>
    <t>UPI/P2A/531033606433/T  SIVARAJ           /wood b/INDIAN OVERSEAS BANK</t>
  </si>
  <si>
    <t>INB/RTGS/UTIBR62025110635630788/RAMDEV ROADWAYS/UNION BANK OF INDIA/</t>
  </si>
  <si>
    <t>IMPS/P2A/531020670662/VISMAASS/KARURVYS/ezp/9199947334669053000</t>
  </si>
  <si>
    <t>UPI/P2A/531078014264/VIJAYALAKSHMI  K     /UPI/BANK OF BARODA</t>
  </si>
  <si>
    <t>UPI/P2A/531038610235/A V AKSHATH          /site r/Kotak Mahindra Bank</t>
  </si>
  <si>
    <t>UPI/P2A/531169145460/THAMBURAJ  RAMALINGAM/Labour/State Bank Of India</t>
  </si>
  <si>
    <t>UPI/P2A/531170364619/SUDHAGAR M           /5 can/CANARA BANK</t>
  </si>
  <si>
    <t>UPI/P2M/531182667143/VENDHAN STATIONERY MA/box fi/YES BANK LIMITED YBS</t>
  </si>
  <si>
    <t>IMPS/P2A/531119774661/VISMAASS/KARURVYS/Exp/9199947334669053000</t>
  </si>
  <si>
    <t>UPI/P2A/567719913536/GOVINTHAN  P         /Labour/State Bank Of India</t>
  </si>
  <si>
    <t>UPI/P2A/567752716380/T  SIVARAJ           /weighm/INDIAN OVERSEAS BANK</t>
  </si>
  <si>
    <t>UPI/P2A/567765426020/CHINNAKKALAI A       /traile/KARUR VYSA BANK</t>
  </si>
  <si>
    <t>UPI/P2A/567877460215/S  Seethalakshmi     /office/State Bank Of India</t>
  </si>
  <si>
    <t>NEFT/KVBLH00248005811/VISMA ASSOCIATES/KARUR VYSYA BANK/NA/NANA/NANA/NA</t>
  </si>
  <si>
    <t>UPI/P2A/531259304568/SUNDARARAAJ  V       /UPI/State Bank Of India</t>
  </si>
  <si>
    <t>UPI/P2A/567885599631/SUNDARARAAJ  V       /premie/State Bank Of India</t>
  </si>
  <si>
    <t>INB/NEFT/AXOIC31283123879/S MAHENDRAN/HDFC BANK/</t>
  </si>
  <si>
    <t>INB/NEFT/AXOIC31283133555/Sri kasj engineering/KARUR VYSYA BANK/</t>
  </si>
  <si>
    <t>INB/NEFT/AXOIC31283138384/Unique products/STATE BANK OF INDIA/</t>
  </si>
  <si>
    <t>INB/NEFT/AXOIC31283144170/SUMAN YADAV/UNION BANK OF INDIA/</t>
  </si>
  <si>
    <t>INB/NEFT/AXOIC31283148520/MAHALAKSHMI ELECTRICA/CITY UNION BANK LIMI/</t>
  </si>
  <si>
    <t>UPI/P2A/531231915231/KALISAMY S           /truck/BANK OF BARODA</t>
  </si>
  <si>
    <t>UPI/P2A/531211017915/Satheeshkumar  .     /Labour/State Bank Of India</t>
  </si>
  <si>
    <t>UPI/P2A/531280406454/GOVINTHAN  P         /Labour/State Bank Of India</t>
  </si>
  <si>
    <t>UPI/P2A/531240912047/ARUMUGAM  ANGAMUTHU  /3 lpg/State Bank Of India</t>
  </si>
  <si>
    <t>UPI/P2A/531291114518/BHOPAL BHOI          /rope b/UNION BANK OF INDIA</t>
  </si>
  <si>
    <t>UPI/P2A/531220804487/TAMILARASAN M        /Labour/UNION BANK OF INDIA</t>
  </si>
  <si>
    <t>UPI/P2A/531256709511/Mr V S Udhayakumar   /3 load/CITY UNION BANK LTD</t>
  </si>
  <si>
    <t>UPI/P2A/531224007196/REVATHI J            /2 load/BANK OF BARODA</t>
  </si>
  <si>
    <t>UPI/P2A/531236615416/Mr MURUGESAN  K      /grindi/CITY UNION BANK LTD</t>
  </si>
  <si>
    <t>UPI/P2A/531259308144/SRIDHAR K M          /rch la/BANK OF BARODA</t>
  </si>
  <si>
    <t>UPI/P2M/568049853815/Google India Service /UPI/ICICI Bank</t>
  </si>
  <si>
    <t>UPI/P2A/568022265238/S  Seethalakshmi     /cleani/State Bank Of India</t>
  </si>
  <si>
    <t>THANGAMANI AGENCIES</t>
  </si>
  <si>
    <t>MURUGAVEL</t>
  </si>
  <si>
    <t xml:space="preserve">MAHENDRAN </t>
  </si>
  <si>
    <t xml:space="preserve">SRI KASJ ENGINEERING </t>
  </si>
  <si>
    <t>LABOUR PAMENT</t>
  </si>
  <si>
    <t>MAHALAKSHMI LE</t>
  </si>
  <si>
    <t>SRI RAM</t>
  </si>
  <si>
    <t>TRAILE</t>
  </si>
  <si>
    <t>RCH-CB</t>
  </si>
  <si>
    <t>BLVL/SVEM</t>
  </si>
  <si>
    <t>RCH /SVEM</t>
  </si>
  <si>
    <t>UPS SERVICE</t>
  </si>
  <si>
    <t>RN PURAM</t>
  </si>
  <si>
    <t>SVEM /BLVL</t>
  </si>
  <si>
    <t>DESIGN</t>
  </si>
  <si>
    <t>NEW MANDAPAM</t>
  </si>
  <si>
    <t>RCH NEW DINNING</t>
  </si>
  <si>
    <t>PORTER</t>
  </si>
  <si>
    <t>BLVL/RCH</t>
  </si>
  <si>
    <t>TRAILER/LABOUR ADVANCE</t>
  </si>
  <si>
    <t>TDS</t>
  </si>
  <si>
    <t>WOOD BLACK</t>
  </si>
  <si>
    <t>TRANSPORT</t>
  </si>
  <si>
    <t>RCH CB</t>
  </si>
  <si>
    <t>KATHIR SIR WIFE</t>
  </si>
  <si>
    <t>ARCHITEC</t>
  </si>
  <si>
    <t>BOX FILE</t>
  </si>
  <si>
    <t>RCH DINI</t>
  </si>
  <si>
    <t>PETROL /WEIGHT</t>
  </si>
  <si>
    <t xml:space="preserve">PREMIER FINAL PAYMENT </t>
  </si>
  <si>
    <t>CO2 O2</t>
  </si>
  <si>
    <t>CONSUMABLE</t>
  </si>
  <si>
    <t>BLVL/SVEM/RCH</t>
  </si>
  <si>
    <t>RCH/SVEM</t>
  </si>
  <si>
    <t>3 LPG</t>
  </si>
  <si>
    <t xml:space="preserve">BLVL </t>
  </si>
  <si>
    <t>ROPE</t>
  </si>
  <si>
    <t>CCDV</t>
  </si>
  <si>
    <t>CLEANING SALARY</t>
  </si>
  <si>
    <t xml:space="preserve">Unique Product </t>
  </si>
  <si>
    <t>purchase</t>
  </si>
  <si>
    <t>Sridhar</t>
  </si>
  <si>
    <t>Ramki ram</t>
  </si>
  <si>
    <t>chinnakkalai m</t>
  </si>
  <si>
    <t>shanmugapriya</t>
  </si>
  <si>
    <t>kalisamy</t>
  </si>
  <si>
    <t>satheeshkumar</t>
  </si>
  <si>
    <t>ms lms transport</t>
  </si>
  <si>
    <t>arumugam angamuthu</t>
  </si>
  <si>
    <t>sastha crane service</t>
  </si>
  <si>
    <t>master r santhosh kum</t>
  </si>
  <si>
    <t>govinthan p</t>
  </si>
  <si>
    <t>VS UDHAYAKUMAR</t>
  </si>
  <si>
    <t>2 WEEK</t>
  </si>
  <si>
    <t>TAMILARASAN M</t>
  </si>
  <si>
    <t>MR. KARTHICK</t>
  </si>
  <si>
    <t>SKY ROOKING</t>
  </si>
  <si>
    <t>VELCHAMY U</t>
  </si>
  <si>
    <t>WEIGHTMENT</t>
  </si>
  <si>
    <t>KATHA DESIGNS</t>
  </si>
  <si>
    <t>SHANMUGAPRIYA</t>
  </si>
  <si>
    <t>GOOLE INDIA DIGITAL</t>
  </si>
  <si>
    <t>VINOTHINI</t>
  </si>
  <si>
    <t>CBDT</t>
  </si>
  <si>
    <t>RAMDEV ROADWAYS</t>
  </si>
  <si>
    <t>VIJAYALAKSHMI</t>
  </si>
  <si>
    <t>A V AKSHATH</t>
  </si>
  <si>
    <t>AKSHATH</t>
  </si>
  <si>
    <t>CHINNAKALAI</t>
  </si>
  <si>
    <t>SEETHALKSHMI</t>
  </si>
  <si>
    <t>MAHENDREN</t>
  </si>
  <si>
    <t>BHOPAL BHOL</t>
  </si>
  <si>
    <t>UDHAYAKUMAR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</si>
  <si>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</si>
  <si>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</si>
  <si>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</si>
  <si>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</si>
  <si>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</si>
  <si>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</si>
  <si>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</si>
  <si>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</si>
  <si>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UPI/P2M/531527851208/BALA SEKHARAN AGENCIE/UPI/YES BANK LIMITED YBS</t>
  </si>
  <si>
    <t>UPI/P2A/568216874671/T  SIVARAJ           /site a/INDIAN OVERSEAS BANK</t>
  </si>
  <si>
    <t>UPI/P2A/568217973352/THAMBURAJAN  R       /Labour/State Bank Of India</t>
  </si>
  <si>
    <t>IMPS/P2A/531616298377/VISMAASS/KARURVYS/EXP/9199947334669053000</t>
  </si>
  <si>
    <t>NEFT/KVBLH00248326650/VISMA ASSOCIATES/KARUR VYSYA BANK/NA/NANA/NANA/NA</t>
  </si>
  <si>
    <t>UPI/P2A/531616219884/Umesh Kumar Rana     /Balanc/IDFC FIRST BANK LTD</t>
  </si>
  <si>
    <t>UPI/P2A/531626124801/Mr. ARUMUGAM         /blr tr/INDIAN BANK</t>
  </si>
  <si>
    <t>UPI/P2A/531646409443/CHINNAKKALAI A       /traile/KARUR VYSA BANK</t>
  </si>
  <si>
    <t>UPI/P2A/531601935657/SUMAN YADAV          /Labour/UNION BANK OF INDIA</t>
  </si>
  <si>
    <t>UPI/P2A/531603936396/DHANAPAL             /loadin/AXIS BANK</t>
  </si>
  <si>
    <t>UPI/P2A/531659426935/Mr Raguraman         /truck/INDIAN BANK</t>
  </si>
  <si>
    <t>UPI/P2A/531781344202/Mr Dhandapani Balasub/UPI/CITY UNION BANK LTD</t>
  </si>
  <si>
    <t>UPI/P2M/531737165652/KOVAI DIGITALS       /xatlog/YES BANK LIMITED YBS</t>
  </si>
  <si>
    <t>UPI/P2A/531720069287/THAMBURAJAN  R       /UPI/State Bank Of India</t>
  </si>
  <si>
    <t>UPI/P2A/531716379376/S  Seethalakshmi     /office/State Bank Of India</t>
  </si>
  <si>
    <t>UPI/P2A/531730668256/THAMBURAJAN  R       /site e/State Bank Of India</t>
  </si>
  <si>
    <t>IMPS/P2A/531812503700/VISMAASS/KARURVYS/payments/9199947334669053000</t>
  </si>
  <si>
    <t>UPI/P2A/568446153648/DHANAPAL             /travel/AXIS BANK</t>
  </si>
  <si>
    <t>POS/KRISHNA SERVICE S/KODAGU/141125/10:41/531810585002</t>
  </si>
  <si>
    <t>POS/HONEY DEW MULTIST/KODAGU/141125/17:24/531817531647</t>
  </si>
  <si>
    <t>UPI/P2A/568419599578/GOVINTHAN  P         /Labour/State Bank Of India</t>
  </si>
  <si>
    <t>POS/WESCADE HOTELS AN/WAYANAD/141125/21:46/531821583699</t>
  </si>
  <si>
    <t>UPI/P2A/531930034639/Mr Raguraman         /truck/INDIAN BANK</t>
  </si>
  <si>
    <t>UPI/P2A/531926144264/SUBRAMANI K          /Stad r/BANK OF BARODA</t>
  </si>
  <si>
    <t>UPI/P2A/531945046851/T  SIVARAJ           /weighm/INDIAN OVERSEAS BANK</t>
  </si>
  <si>
    <t>NEFT/KVBLH00248532594/VISMA ASSOCIATES/KARUR VYSYA BANK/NA/NANA/NANA/NA</t>
  </si>
  <si>
    <t>UPI/P2A/568550118942/GOVINTHAN  P         /UPI/State Bank Of India</t>
  </si>
  <si>
    <t>UPI/P2A/568531924232/RAMKI RAM R          /auto r/DBS BANK INDIA LIMIT</t>
  </si>
  <si>
    <t>UPI/P2A/568592024107/SRI KASJ ENGINEERIN  /Labour/KARUR VYSA BANK</t>
  </si>
  <si>
    <t>UPI/P2A/568548321728/SUMAN YADAV          /2 Labo/UNION BANK OF INDIA</t>
  </si>
  <si>
    <t>UPI/P2A/568595321388/T  SIVARAJ           /factor/INDIAN OVERSEAS BANK</t>
  </si>
  <si>
    <t>UPI/P2A/568511118812/SRINITHI B           /grindi/CANARA BANK</t>
  </si>
  <si>
    <t>UPI/P2A/568537521723/Vigneshwaran  Udhayak/auto r/State Bank Of India</t>
  </si>
  <si>
    <t>UPI/P2A/568560920955/Mr. ARUMUGAM         /purlin/INDIAN BANK</t>
  </si>
  <si>
    <t>UPI/P2A/568597915183/SRIDHAR K M          /travel/BANK OF BARODA</t>
  </si>
  <si>
    <t>UPI/P2A/568670545713/Ms Logambal Rajagopal/train/CITY UNION BANK LTD</t>
  </si>
  <si>
    <t>UPI/P2A/568620738956/Ms Logambal Rajagopal/train/CITY UNION BANK LTD</t>
  </si>
  <si>
    <t>IMPS/P2A/532013767727/VISMAASS/KARURVYS/EXP/9199947334669053000</t>
  </si>
  <si>
    <t>UPI/P2A/568678372113/Mr Shanmugam Ramasamy/traile/INDIAN BANK</t>
  </si>
  <si>
    <t>UPI/P2A/568646077336/KALISAMY S           /truck/BANK OF BARODA</t>
  </si>
  <si>
    <t>UPI/P2A/568685971814/Satheeshkumar  .     /Labour/State Bank Of India</t>
  </si>
  <si>
    <t>UPI/P2A/568681272131/TAMILARASAN M        /Labour/UNION BANK OF INDIA</t>
  </si>
  <si>
    <t>UPI/P2A/568618192554/SUBRAMANI K          /Stad r/BANK OF BARODA</t>
  </si>
  <si>
    <t>UPI/P2A/568626994373/THAMBURAJAN  R       /salary/State Bank Of India</t>
  </si>
  <si>
    <t>UPI/P2A/568605097780/Mr Dhandapani Balasub/gst an/CITY UNION BANK LTD</t>
  </si>
  <si>
    <t>UPI/P2A/532124255852/REAL GROUP OF COMPANY/promin/CITY UNION BANK LTD</t>
  </si>
  <si>
    <t>UPI/P2A/532121161510/Mr Karthik Chinnadura/traile/INDIAN BANK</t>
  </si>
  <si>
    <t>UPI/P2A/532140170534/SRIDHAR K M          /temple/BANK OF BARODA</t>
  </si>
  <si>
    <t>IMPS/P2A/532117899408/VISMAASS/KARURVYS/EXP/9199947334669053000</t>
  </si>
  <si>
    <t>UPI/P2A/568788905260/S  Seethalakshmi     /UPI/State Bank Of India</t>
  </si>
  <si>
    <t>UPI/P2A/568821647309/T  SIVARAJ           /Labour/INDIAN OVERSEAS BANK</t>
  </si>
  <si>
    <t xml:space="preserve">BALA SEKHARAN </t>
  </si>
  <si>
    <t>LABOUR</t>
  </si>
  <si>
    <t>MR.ARUMUGAM</t>
  </si>
  <si>
    <t>DHANAPAL</t>
  </si>
  <si>
    <t>LOADING</t>
  </si>
  <si>
    <t>MR RAGURAMAM</t>
  </si>
  <si>
    <t>DUTIES &amp; TAX</t>
  </si>
  <si>
    <t>DHANDAPANI BALASUB</t>
  </si>
  <si>
    <t>IT FILLING CHARGES</t>
  </si>
  <si>
    <t>KOVAI DIGITALS</t>
  </si>
  <si>
    <t>XATLOG</t>
  </si>
  <si>
    <t>THAMBURAJAN  R</t>
  </si>
  <si>
    <t>SEETHALAKSHMI</t>
  </si>
  <si>
    <t>TOILET CLEANIG BOY</t>
  </si>
  <si>
    <t>TRAVEL</t>
  </si>
  <si>
    <t>KODAGU</t>
  </si>
  <si>
    <t>WESCADE HOTELS</t>
  </si>
  <si>
    <t xml:space="preserve">RAGURAMAN </t>
  </si>
  <si>
    <t>SUBRAMANI K</t>
  </si>
  <si>
    <t>S TAD</t>
  </si>
  <si>
    <t>2 LOBOUR</t>
  </si>
  <si>
    <t>SRINITHI B</t>
  </si>
  <si>
    <t>GRINDING MACHINE</t>
  </si>
  <si>
    <t>VIGNESHWARAN</t>
  </si>
  <si>
    <t>UDHAYAK AUTO</t>
  </si>
  <si>
    <t xml:space="preserve">arumugam </t>
  </si>
  <si>
    <t>MS LOGAMBAL</t>
  </si>
  <si>
    <t>TRAIN</t>
  </si>
  <si>
    <t>SHANMUGAM RAMASAMY</t>
  </si>
  <si>
    <t>LABOUR AUTO</t>
  </si>
  <si>
    <t>rent</t>
  </si>
  <si>
    <t>new project</t>
  </si>
  <si>
    <t>salary</t>
  </si>
  <si>
    <t>REAL GROUP OF COMPANY</t>
  </si>
  <si>
    <t>PROMINANACE</t>
  </si>
  <si>
    <t>SURVEY</t>
  </si>
  <si>
    <t>MR.KARTHIK CHINNADURA</t>
  </si>
  <si>
    <t>TEMPLE</t>
  </si>
  <si>
    <t>umesh kumar</t>
  </si>
  <si>
    <t>blvl</t>
  </si>
  <si>
    <t>purlin</t>
  </si>
  <si>
    <t>SITE EXP/petrol</t>
  </si>
  <si>
    <t>svem</t>
  </si>
  <si>
    <t xml:space="preserve"> Truck</t>
  </si>
  <si>
    <t>rch/DINNING</t>
  </si>
  <si>
    <t>ROOM RENT</t>
  </si>
  <si>
    <t>NEW SITE</t>
  </si>
  <si>
    <t>Labour  TEA</t>
  </si>
  <si>
    <t>UPI/P2A/568842436468/DHANAPAL             /site a/AXIS BANK</t>
  </si>
  <si>
    <t>UPI/P2M/568867877556/RUDHRA_FARMS_AND_FOOD/UPI/YES BANK LIMITED YBS</t>
  </si>
  <si>
    <t>UPI/P2M/532326739862/RAJEEVAN C           /UPI/YES BANK LIMITED YBS</t>
  </si>
  <si>
    <t>IMPS/P2A/532408193478/VISMAASS/KARURVYS/salaryla/9199947334669053000</t>
  </si>
  <si>
    <t>INB/NEFT/AXOIC32480451861/SUMAN YADAV/UNION BANK OF INDIA/</t>
  </si>
  <si>
    <t>UPI/P2A/569035828826/SUDHAGAR M           /UPI/CANARA BANK</t>
  </si>
  <si>
    <t>IMPS/P2A/532412232069/VISMAASS/KARURVYS/exp/9199947334669053000</t>
  </si>
  <si>
    <t>UPI/P2A/569033729264/T  SIVARAJ           /Labour/INDIAN OVERSEAS BANK</t>
  </si>
  <si>
    <t>UPI/P2A/569067738406/SRIDHAR K M          /return/BANK OF BARODA</t>
  </si>
  <si>
    <t>IMPS/P2A/532421294736/VISMAASS/KARURVYS/exp/9199947334669053000</t>
  </si>
  <si>
    <t>UPI/P2A/569011988362/Mr ARUMUGAM          /truck/INDIAN BANK</t>
  </si>
  <si>
    <t>UPI/P2A/532534019071/Mr ARUMUGAM          /truck/INDIAN BANK</t>
  </si>
  <si>
    <t>UPI/P2A/532553723369/RAMKI RAM R          /auto r/DBS BANK INDIA LIMIT</t>
  </si>
  <si>
    <t>UPI/P2A/532543523274/THAMBURAJAN  R       /Labour/State Bank Of India</t>
  </si>
  <si>
    <t>UPI/P2A/532595680577/SRI KASJ ENGINEERIN  /sheet/KARUR VYSA BANK</t>
  </si>
  <si>
    <t>UPI/P2M/569237707951/BALA SEKHARAN AGENCIE/UPI/YES BANK LIMITED YBS</t>
  </si>
  <si>
    <t>IMPS/P2A/532617494058/VISMAASS/KARURVYS/expenses/9199947334669053000</t>
  </si>
  <si>
    <t>INB/NEFT/AXOIC32698266940/Sri kasj engineering/KARUR VYSYA BANK/</t>
  </si>
  <si>
    <t>INB/NEFT/AXOIC32698270816/Unique products/STATE BANK OF INDIA/</t>
  </si>
  <si>
    <t>INB/NEFT/AXOIC32698288320/Sridhar KM/BANK OF BARODA/</t>
  </si>
  <si>
    <t>INB/NEFT/AXOIC32698301947/S MAHENDRAN/HDFC BANK/</t>
  </si>
  <si>
    <t>UPI/P2A/569255456064/KALISAMY S           /truck/BANK OF BARODA</t>
  </si>
  <si>
    <t>UPI/P2A/569278057028/Satheeshkumar  .     /Labour/State Bank Of India</t>
  </si>
  <si>
    <t>UPI/P2A/569278660564/ARUMUGAM  ANGAMUTHU  /4 lpg/State Bank Of India</t>
  </si>
  <si>
    <t>UPI/P2A/569277672794/SAKINA MURTUZA SURATI/weldin/Kotak Mahindra Bank</t>
  </si>
  <si>
    <t>UPI/P2A/569276152015/TAMILARASAN M        /Labour/UNION BANK OF INDIA</t>
  </si>
  <si>
    <t>UPI/P2A/569254966416/REVATHI J            /drinki/BANK OF BARODA</t>
  </si>
  <si>
    <t>UPI/P2A/569255655581/Mr V S Udhayakumar   /raw wa/CITY UNION BANK LTD</t>
  </si>
  <si>
    <t>UPI/P2A/569238376470/SUMAN YADAV          /2 labo/UNION BANK OF INDIA</t>
  </si>
  <si>
    <t>UPI/P2A/569267071333/ANIT  BAKATI         /3 labo/State Bank Of India</t>
  </si>
  <si>
    <t>UPI/P2M/569283364822/PRABAKARAN R         /Labour/YES BANK LIMITED YBS</t>
  </si>
  <si>
    <t>IMPS/P2A/532674414582/RAHUL/X053900/UNIONBANKOFINDIA/Lab</t>
  </si>
  <si>
    <t>GST @18% on Monthly Avg Bal Chrgs</t>
  </si>
  <si>
    <t>GST @18% on Monthly Service Chrgs</t>
  </si>
  <si>
    <t>19/11/2025</t>
  </si>
  <si>
    <t>20/11/2025</t>
  </si>
  <si>
    <t>21/11/2025</t>
  </si>
  <si>
    <t>22/11/2025</t>
  </si>
  <si>
    <t>23/11/2025</t>
  </si>
  <si>
    <t>RUDHRA FARMS AND FOOD</t>
  </si>
  <si>
    <t>RAJEEVAN</t>
  </si>
  <si>
    <t>LABOUR EXP</t>
  </si>
  <si>
    <t>LABOUR FOOD</t>
  </si>
  <si>
    <t>ARUMUGAM ANGAMUTHU</t>
  </si>
  <si>
    <t>4 LPG CYLINDER</t>
  </si>
  <si>
    <t>SAKINA MARTUZA</t>
  </si>
  <si>
    <t xml:space="preserve">WELDING </t>
  </si>
  <si>
    <t>RAW WATER</t>
  </si>
  <si>
    <t>ANIT BAKATI</t>
  </si>
  <si>
    <t>PRABAKARAN</t>
  </si>
  <si>
    <t>RAHUL</t>
  </si>
  <si>
    <t>GST@18%</t>
  </si>
  <si>
    <t>MONTHLY AVG</t>
  </si>
  <si>
    <t>fACTORY EXP</t>
  </si>
  <si>
    <t>UPI/P2M/569401851039/Adhoc CHAVADI PETROLE/UPI/YES BANK LIMITED YBS</t>
  </si>
  <si>
    <t>UPI/P2A/569405332467/KRISHNAKUMAR         /porter/INDIA POST PAYMENTS</t>
  </si>
  <si>
    <t>UPI/P2M/569461066867/RUDHRA_FARMS_AND_FOOD/UPI/YES BANK LIMITED YBS</t>
  </si>
  <si>
    <t>IMPS/P2A/532910730474/VISMAASS/KARURVYS/EXP/9199947334669053000</t>
  </si>
  <si>
    <t>UPI/P2M/532966705504/R V S SOCIAL SERVICE /petrol/YES BANK LIMITED YBS</t>
  </si>
  <si>
    <t>UPI/P2M/532954215420/Mr  Uthaya Prabakara /UPI/YES BANK LIMITED YBS</t>
  </si>
  <si>
    <t>UPI/P2A/532989027751/SHANMUGAPRIYA M      /auto r/CANARA BANK</t>
  </si>
  <si>
    <t>UPI/P2M/532972026437/Delhivery Limited    /UPI/YES BANK LIMITED YBS</t>
  </si>
  <si>
    <t>IMPS/P2A/532914761709/VISMAASS/KARURVYS/EXP/9199947334669053000</t>
  </si>
  <si>
    <t>UPI/P2A/532935828501/SURESH KUMAR  C      /UPI/State Bank Of India</t>
  </si>
  <si>
    <t>UPI/P2A/532980237507/SIVASUBRAMANIA MARTHA/from k/BANK OF INDIA</t>
  </si>
  <si>
    <t>UPI/P2M/532919142765/VASANTHAM GRAND      /UPI/YES BANK LIMITED YBS</t>
  </si>
  <si>
    <t>UPI/P2A/532969565315/THAMBURAJAN  R       /Labour/State Bank Of India</t>
  </si>
  <si>
    <t>UPI/P2A/532947261106/PRABU S              /courie/CANARA BANK</t>
  </si>
  <si>
    <t>UPI/P2M/532975866027/YOGARAJ N            /UPI/YES BANK LIMITED YBS</t>
  </si>
  <si>
    <t>IMPS/P2A/533009841893/VISMAASS/KARURVYS/EXP/9199947334669053000</t>
  </si>
  <si>
    <t>UPI/P2A/569600407269/Mr SUNDARAPANDI      /UPI/INDIAN BANK</t>
  </si>
  <si>
    <t>UPI/P2A/569673622755/DUMMY NAME           /exp re/BANK OF BARODA</t>
  </si>
  <si>
    <t>UPI/P2A/569686726748/SRIDHAR K M          /food e/BANK OF BARODA</t>
  </si>
  <si>
    <t>UPI/P2M/533084493807/TEMPLE CITY HOTELS IN/UPI/YES BANK LIMITED YBS</t>
  </si>
  <si>
    <t>UPI/P2A/569616141925/T  SIVARAJ           /Labour/INDIAN OVERSEAS BANK</t>
  </si>
  <si>
    <t>UPI/P2M/569650044598/VENU BIRIYANI HOTEL  /Genera/HDFC BANK LTD</t>
  </si>
  <si>
    <t>UPI/P2M/569627958143/SAKTHI RELAX         /UPI/AXIS BANK</t>
  </si>
  <si>
    <t>UPI/P2A/569632351935/KANDIYAN MUTHTHIAH   /UPI/BANK OF BARODA</t>
  </si>
  <si>
    <t>UPI/P2A/569646980304/SRI KASJ ENGINEERIN  /sheeti/KARUR VYSA BANK</t>
  </si>
  <si>
    <t>UPI/P2M/533164218845/Deepak Manoharan     /UPI/YES BANK LIMITED YBS</t>
  </si>
  <si>
    <t>UPI/P2A/533130266213/T  SIVARAJ           /Labour/INDIAN OVERSEAS BANK</t>
  </si>
  <si>
    <t>IMPS/P2A/533216135313/VISMAASS/KARURVYS/exp/9199947334669053000</t>
  </si>
  <si>
    <t>UPI/P2A/569860639779/SRIDHAR K M          /siva a/BANK OF BARODA</t>
  </si>
  <si>
    <t>UPI/P2A/569870157527/GUGAN K S            /petrol/HDFC BANK LTD</t>
  </si>
  <si>
    <t>UPI/P2A/569863842583/Mr Arulkumaran Jayaba/traile/CITY UNION BANK LTD</t>
  </si>
  <si>
    <t>IMPS/P2A/533311202252/VISMAASS/KARURVYS/EXP/9199947334669053000</t>
  </si>
  <si>
    <t>UPI/P2A/569938587230/SURUTHI K            /drawin/HDFC BANK LTD</t>
  </si>
  <si>
    <t>UPI/P2A/533390906544/T  SIVARAJ           /site e/INDIAN OVERSEAS BANK</t>
  </si>
  <si>
    <t>UPI/P2A/533302903983/Mr SUNDARAPANDI      /traile/INDIAN BANK</t>
  </si>
  <si>
    <t>UPI/P2A/533334031223/SHANMUGAPRIYA M      /auto r/CANARA BANK</t>
  </si>
  <si>
    <t>UPI/P2A/533336136354/T  SIVARAJ           /a3 pri/INDIAN OVERSEAS BANK</t>
  </si>
  <si>
    <t>IMPS/P2A/533318270828/VISMAASS/KARURVYS/PROJECTE/9199947334669053000</t>
  </si>
  <si>
    <t>RTGS/KVBLR52025112962334734/VISMA ASSOCIATES/KARUR VYSYA BANK//FAST/</t>
  </si>
  <si>
    <t>NEFT/DH/AXODH33355671299/SUMAN YADAV/UNION BANK OF INDIA//////</t>
  </si>
  <si>
    <t>NEFT/DH/AXODH33355708303/RAHUL/UNION BANK OF INDIA//////</t>
  </si>
  <si>
    <t>UPI/P2A/533300850347/KALISAMY S           /truck/BANK OF BARODA</t>
  </si>
  <si>
    <t>NEFT/DH/AXODH33355716288/S MAHENDRAN/HDFC BANK//////</t>
  </si>
  <si>
    <t>NEFT/DH/AXODH33355722231/Sri kasj engineering work/KARUR VYSYA BANK//////</t>
  </si>
  <si>
    <t>NEFT/DH/AXODH33355726876/Unique products/STATE BANK OF INDIA//////</t>
  </si>
  <si>
    <t>UPI/P2A/533338429815/Satheeshkumar  .     /Labour/State Bank Of India</t>
  </si>
  <si>
    <t>INB/IFT/SATRADERSCHENGALPATT/TPARTY TRANSFER</t>
  </si>
  <si>
    <t>UPI/P2A/533305148776/ARUMUGAM ANGAMUTHU   /1lpg c/KARUR VYSA BANK</t>
  </si>
  <si>
    <t>UPI/P2A/533380441335/SHRI SHAASTHA WATER S/5 load/BANK OF BARODA</t>
  </si>
  <si>
    <t>UPI/P2A/533366136930/TAMILARASAN M        /Labour/UNION BANK OF INDIA</t>
  </si>
  <si>
    <t>UPI/P2A/533325252448/Mr Karthik Chinnadura/45 fee/INDIAN BANK</t>
  </si>
  <si>
    <t>UPI/P2A/533364552760/S  Seethalakshmi     /a4 pap/State Bank Of India</t>
  </si>
  <si>
    <t>UPI/P2A/533334564855/THAMBURAJAN  R       /porter/State Bank Of India</t>
  </si>
  <si>
    <t>24/11/2025</t>
  </si>
  <si>
    <t>25/11/2025</t>
  </si>
  <si>
    <t>26/11/2025</t>
  </si>
  <si>
    <t>27/11/2025</t>
  </si>
  <si>
    <t>28/11/2025</t>
  </si>
  <si>
    <t>29/11/2025</t>
  </si>
  <si>
    <t xml:space="preserve">ADHOC </t>
  </si>
  <si>
    <t>KRISHNAKUMAR</t>
  </si>
  <si>
    <t>RVS</t>
  </si>
  <si>
    <t>UTHAYA</t>
  </si>
  <si>
    <t>COURIER</t>
  </si>
  <si>
    <t>DELHIVERY</t>
  </si>
  <si>
    <t>SURESH</t>
  </si>
  <si>
    <t>SIVASUBRAMANIAN</t>
  </si>
  <si>
    <t>VASANTHAM</t>
  </si>
  <si>
    <t>YOGARAJAN</t>
  </si>
  <si>
    <t>SUNDARAPANDI</t>
  </si>
  <si>
    <t>HOTEL RENT</t>
  </si>
  <si>
    <t>TEMPLE CITY</t>
  </si>
  <si>
    <t xml:space="preserve">LABOUR FOOD </t>
  </si>
  <si>
    <t>VENU BIRIYANI</t>
  </si>
  <si>
    <t>SAKTHI</t>
  </si>
  <si>
    <t>KANDIYAN</t>
  </si>
  <si>
    <t>GUGAN</t>
  </si>
  <si>
    <t>ARULKUMARAN</t>
  </si>
  <si>
    <t>SURUTHI</t>
  </si>
  <si>
    <t>DRAWING FEE</t>
  </si>
  <si>
    <t>A3PRINT PETROL</t>
  </si>
  <si>
    <t>SVEM RCH BLVL</t>
  </si>
  <si>
    <t>CO2 &amp; O2 CYLINDER</t>
  </si>
  <si>
    <t>RVC SVEM</t>
  </si>
  <si>
    <t>SA TRADERS</t>
  </si>
  <si>
    <t>SHRI SHASTHA</t>
  </si>
  <si>
    <t>LABOUR TEA EXP</t>
  </si>
  <si>
    <t>KARTHIK RAJA</t>
  </si>
  <si>
    <t>TRAILER RENT</t>
  </si>
  <si>
    <t xml:space="preserve">SEETHA </t>
  </si>
  <si>
    <t>Labour payment</t>
  </si>
  <si>
    <t>LABOUR tea</t>
  </si>
  <si>
    <t>LABOUR payment</t>
  </si>
  <si>
    <t>Rch 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</si>
</sst>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_);_(* \(#,##0\);_(* &quot;-&quot;??_);_(@_)"/>
    <numFmt numFmtId="165" formatCode="[$-409]dd\-mmm\-yy;@"/>
    <numFmt numFmtId="166" formatCode="_ [$₹-4009]\ * #,##0.00_ ;_ [$₹-4009]\ * \-#,##0.00_ ;_ [$₹-4009]\ * &quot;-&quot;??_ ;_ @_ 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rgb="FFC00000"/>
      <name val="Arial"/>
      <family val="2"/>
    </font>
    <font>
      <sz val="11"/>
      <color rgb="FFC00000"/>
      <name val="Arial"/>
      <family val="2"/>
    </font>
    <font>
      <b/>
      <sz val="11"/>
      <color rgb="FF0000FF"/>
      <name val="Arial"/>
      <family val="2"/>
    </font>
    <font>
      <b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2060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9"/>
      <color rgb="FF0000FF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rgb="FF00B0F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rgb="FF0033CC"/>
      <name val="Calibri"/>
      <family val="2"/>
      <scheme val="minor"/>
    </font>
    <font>
      <sz val="10"/>
      <name val="Arial"/>
      <family val="2"/>
    </font>
    <font>
      <b/>
      <sz val="9"/>
      <color rgb="FFC00000"/>
      <name val="Arial"/>
      <family val="2"/>
    </font>
    <font>
      <sz val="8"/>
      <color theme="1"/>
      <name val="Calibri"/>
      <family val="2"/>
      <scheme val="minor"/>
    </font>
    <font>
      <b/>
      <sz val="8"/>
      <color rgb="FFC00000"/>
      <name val="Arial"/>
      <family val="2"/>
    </font>
    <font>
      <sz val="10"/>
      <name val="Trebuchet MS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18" fillId="0" borderId="0"/>
    <xf numFmtId="0" fontId="21" fillId="0" borderId="0"/>
    <xf numFmtId="0" fontId="22" fillId="0" borderId="0"/>
    <xf numFmtId="0" fontId="26" fillId="0" borderId="0"/>
    <xf numFmtId="0" fontId="31" fillId="0" borderId="0" applyNumberForma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/>
    <xf numFmtId="164" fontId="3" fillId="4" borderId="1" xfId="1" applyNumberFormat="1" applyFont="1" applyFill="1" applyBorder="1" applyAlignment="1">
      <alignment vertical="center"/>
    </xf>
    <xf numFmtId="164" fontId="2" fillId="4" borderId="1" xfId="1" applyNumberFormat="1" applyFont="1" applyFill="1" applyBorder="1" applyAlignment="1">
      <alignment vertical="center"/>
    </xf>
    <xf numFmtId="164" fontId="4" fillId="4" borderId="1" xfId="1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horizontal="center" vertical="center"/>
    </xf>
    <xf numFmtId="164" fontId="6" fillId="5" borderId="1" xfId="1" applyNumberFormat="1" applyFont="1" applyFill="1" applyBorder="1" applyAlignment="1">
      <alignment horizontal="right" vertical="center"/>
    </xf>
    <xf numFmtId="165" fontId="3" fillId="4" borderId="3" xfId="0" applyNumberFormat="1" applyFont="1" applyFill="1" applyBorder="1" applyAlignment="1">
      <alignment horizontal="center" vertical="center"/>
    </xf>
    <xf numFmtId="165" fontId="3" fillId="4" borderId="3" xfId="0" applyNumberFormat="1" applyFont="1" applyFill="1" applyBorder="1" applyAlignment="1">
      <alignment horizontal="left" vertical="center"/>
    </xf>
    <xf numFmtId="164" fontId="8" fillId="4" borderId="1" xfId="1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0" fontId="6" fillId="5" borderId="4" xfId="0" applyFont="1" applyFill="1" applyBorder="1" applyAlignment="1">
      <alignment vertical="center"/>
    </xf>
    <xf numFmtId="0" fontId="0" fillId="5" borderId="5" xfId="0" applyFill="1" applyBorder="1" applyAlignment="1">
      <alignment horizontal="left"/>
    </xf>
    <xf numFmtId="0" fontId="0" fillId="5" borderId="5" xfId="0" applyFill="1" applyBorder="1"/>
    <xf numFmtId="0" fontId="9" fillId="5" borderId="5" xfId="0" applyFont="1" applyFill="1" applyBorder="1" applyAlignment="1">
      <alignment horizontal="center"/>
    </xf>
    <xf numFmtId="164" fontId="0" fillId="5" borderId="5" xfId="1" applyNumberFormat="1" applyFont="1" applyFill="1" applyBorder="1" applyAlignment="1">
      <alignment horizontal="right" vertical="center"/>
    </xf>
    <xf numFmtId="17" fontId="6" fillId="5" borderId="6" xfId="0" applyNumberFormat="1" applyFont="1" applyFill="1" applyBorder="1" applyAlignment="1">
      <alignment vertical="center"/>
    </xf>
    <xf numFmtId="0" fontId="6" fillId="5" borderId="7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vertical="center"/>
    </xf>
    <xf numFmtId="0" fontId="0" fillId="5" borderId="7" xfId="0" applyFill="1" applyBorder="1"/>
    <xf numFmtId="0" fontId="7" fillId="5" borderId="7" xfId="0" applyFont="1" applyFill="1" applyBorder="1" applyAlignment="1">
      <alignment vertical="center"/>
    </xf>
    <xf numFmtId="0" fontId="8" fillId="5" borderId="7" xfId="0" applyFont="1" applyFill="1" applyBorder="1" applyAlignment="1">
      <alignment horizontal="center" vertical="center"/>
    </xf>
    <xf numFmtId="164" fontId="0" fillId="5" borderId="7" xfId="1" applyNumberFormat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vertical="center"/>
    </xf>
    <xf numFmtId="0" fontId="10" fillId="2" borderId="5" xfId="0" applyFont="1" applyFill="1" applyBorder="1"/>
    <xf numFmtId="0" fontId="8" fillId="2" borderId="5" xfId="0" applyFont="1" applyFill="1" applyBorder="1" applyAlignment="1">
      <alignment horizontal="center" vertical="center"/>
    </xf>
    <xf numFmtId="164" fontId="10" fillId="2" borderId="5" xfId="1" applyNumberFormat="1" applyFont="1" applyFill="1" applyBorder="1" applyAlignment="1">
      <alignment horizontal="right" vertical="center"/>
    </xf>
    <xf numFmtId="0" fontId="11" fillId="2" borderId="8" xfId="0" applyFont="1" applyFill="1" applyBorder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0" fillId="2" borderId="0" xfId="0" applyFont="1" applyFill="1"/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164" fontId="10" fillId="2" borderId="0" xfId="1" applyNumberFormat="1" applyFont="1" applyFill="1" applyAlignment="1">
      <alignment horizontal="right" vertical="center"/>
    </xf>
    <xf numFmtId="0" fontId="0" fillId="2" borderId="0" xfId="0" applyFill="1"/>
    <xf numFmtId="0" fontId="12" fillId="0" borderId="0" xfId="3"/>
    <xf numFmtId="165" fontId="3" fillId="4" borderId="1" xfId="0" applyNumberFormat="1" applyFont="1" applyFill="1" applyBorder="1" applyAlignment="1">
      <alignment horizontal="left" vertical="center"/>
    </xf>
    <xf numFmtId="17" fontId="6" fillId="5" borderId="8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8" fillId="5" borderId="0" xfId="0" applyFont="1" applyFill="1" applyAlignment="1">
      <alignment horizontal="center" vertical="center"/>
    </xf>
    <xf numFmtId="0" fontId="0" fillId="5" borderId="0" xfId="0" applyFill="1"/>
    <xf numFmtId="0" fontId="7" fillId="5" borderId="0" xfId="0" applyFont="1" applyFill="1" applyAlignment="1">
      <alignment vertical="center"/>
    </xf>
    <xf numFmtId="164" fontId="0" fillId="5" borderId="0" xfId="1" applyNumberFormat="1" applyFont="1" applyFill="1" applyBorder="1" applyAlignment="1">
      <alignment horizontal="right" vertical="center"/>
    </xf>
    <xf numFmtId="0" fontId="1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15" fillId="0" borderId="0" xfId="0" applyFont="1"/>
    <xf numFmtId="165" fontId="15" fillId="4" borderId="1" xfId="0" applyNumberFormat="1" applyFont="1" applyFill="1" applyBorder="1" applyAlignment="1">
      <alignment horizontal="center" vertical="center"/>
    </xf>
    <xf numFmtId="165" fontId="15" fillId="4" borderId="1" xfId="0" applyNumberFormat="1" applyFont="1" applyFill="1" applyBorder="1" applyAlignment="1">
      <alignment horizontal="left" vertical="center"/>
    </xf>
    <xf numFmtId="164" fontId="14" fillId="4" borderId="1" xfId="1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right" vertical="center"/>
    </xf>
    <xf numFmtId="0" fontId="16" fillId="0" borderId="0" xfId="3" applyFont="1"/>
    <xf numFmtId="0" fontId="15" fillId="6" borderId="0" xfId="0" applyFont="1" applyFill="1"/>
    <xf numFmtId="0" fontId="16" fillId="6" borderId="0" xfId="3" applyFont="1" applyFill="1"/>
    <xf numFmtId="14" fontId="17" fillId="0" borderId="1" xfId="0" applyNumberFormat="1" applyFont="1" applyBorder="1"/>
    <xf numFmtId="0" fontId="17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20" fillId="0" borderId="0" xfId="0" applyFont="1"/>
    <xf numFmtId="0" fontId="19" fillId="0" borderId="1" xfId="0" applyFont="1" applyBorder="1"/>
    <xf numFmtId="2" fontId="19" fillId="0" borderId="0" xfId="0" applyNumberFormat="1" applyFont="1"/>
    <xf numFmtId="0" fontId="19" fillId="0" borderId="1" xfId="0" applyFont="1" applyBorder="1" applyAlignment="1">
      <alignment horizontal="center"/>
    </xf>
    <xf numFmtId="0" fontId="19" fillId="0" borderId="1" xfId="0" applyFont="1" applyBorder="1" applyAlignment="1">
      <alignment horizontal="right"/>
    </xf>
    <xf numFmtId="2" fontId="0" fillId="0" borderId="1" xfId="0" applyNumberFormat="1" applyBorder="1"/>
    <xf numFmtId="165" fontId="3" fillId="4" borderId="1" xfId="0" applyNumberFormat="1" applyFont="1" applyFill="1" applyBorder="1" applyAlignment="1">
      <alignment vertical="center"/>
    </xf>
    <xf numFmtId="14" fontId="0" fillId="0" borderId="1" xfId="0" applyNumberFormat="1" applyBorder="1" applyAlignment="1">
      <alignment horizontal="left"/>
    </xf>
    <xf numFmtId="0" fontId="0" fillId="0" borderId="9" xfId="0" applyBorder="1"/>
    <xf numFmtId="165" fontId="23" fillId="4" borderId="1" xfId="0" applyNumberFormat="1" applyFont="1" applyFill="1" applyBorder="1" applyAlignment="1">
      <alignment horizontal="left" vertical="center"/>
    </xf>
    <xf numFmtId="0" fontId="24" fillId="0" borderId="1" xfId="0" applyFont="1" applyBorder="1" applyAlignment="1">
      <alignment horizontal="center"/>
    </xf>
    <xf numFmtId="14" fontId="24" fillId="0" borderId="1" xfId="0" applyNumberFormat="1" applyFont="1" applyBorder="1"/>
    <xf numFmtId="0" fontId="24" fillId="0" borderId="1" xfId="0" applyFont="1" applyBorder="1"/>
    <xf numFmtId="4" fontId="24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left"/>
    </xf>
    <xf numFmtId="49" fontId="24" fillId="0" borderId="1" xfId="0" applyNumberFormat="1" applyFont="1" applyBorder="1"/>
    <xf numFmtId="4" fontId="25" fillId="0" borderId="1" xfId="0" applyNumberFormat="1" applyFont="1" applyBorder="1" applyAlignment="1">
      <alignment horizontal="center"/>
    </xf>
    <xf numFmtId="0" fontId="25" fillId="0" borderId="1" xfId="0" applyFont="1" applyBorder="1"/>
    <xf numFmtId="0" fontId="24" fillId="0" borderId="0" xfId="0" applyFont="1"/>
    <xf numFmtId="0" fontId="27" fillId="5" borderId="1" xfId="0" applyFont="1" applyFill="1" applyBorder="1" applyAlignment="1">
      <alignment vertical="center"/>
    </xf>
    <xf numFmtId="0" fontId="27" fillId="5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center" vertical="center"/>
    </xf>
    <xf numFmtId="0" fontId="24" fillId="7" borderId="1" xfId="0" applyFont="1" applyFill="1" applyBorder="1"/>
    <xf numFmtId="0" fontId="24" fillId="7" borderId="1" xfId="0" applyFont="1" applyFill="1" applyBorder="1" applyAlignment="1">
      <alignment horizont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/>
    </xf>
    <xf numFmtId="0" fontId="27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vertical="center" wrapText="1"/>
    </xf>
    <xf numFmtId="0" fontId="29" fillId="5" borderId="1" xfId="0" applyFont="1" applyFill="1" applyBorder="1" applyAlignment="1">
      <alignment vertical="center"/>
    </xf>
    <xf numFmtId="165" fontId="23" fillId="7" borderId="1" xfId="0" applyNumberFormat="1" applyFont="1" applyFill="1" applyBorder="1" applyAlignment="1">
      <alignment horizontal="left" vertical="center"/>
    </xf>
    <xf numFmtId="0" fontId="28" fillId="0" borderId="0" xfId="0" applyFont="1"/>
    <xf numFmtId="166" fontId="27" fillId="5" borderId="1" xfId="1" applyNumberFormat="1" applyFont="1" applyFill="1" applyBorder="1" applyAlignment="1">
      <alignment horizontal="center" vertical="center"/>
    </xf>
    <xf numFmtId="166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vertical="center"/>
    </xf>
    <xf numFmtId="0" fontId="30" fillId="0" borderId="0" xfId="0" applyFont="1"/>
    <xf numFmtId="0" fontId="30" fillId="7" borderId="1" xfId="0" applyFont="1" applyFill="1" applyBorder="1"/>
    <xf numFmtId="165" fontId="23" fillId="7" borderId="1" xfId="0" applyNumberFormat="1" applyFont="1" applyFill="1" applyBorder="1" applyAlignment="1">
      <alignment horizontal="center" vertical="center"/>
    </xf>
    <xf numFmtId="4" fontId="30" fillId="7" borderId="1" xfId="0" applyNumberFormat="1" applyFont="1" applyFill="1" applyBorder="1"/>
    <xf numFmtId="165" fontId="31" fillId="7" borderId="1" xfId="8" applyNumberFormat="1" applyFill="1" applyBorder="1" applyAlignment="1">
      <alignment horizontal="left" vertical="center"/>
    </xf>
    <xf numFmtId="165" fontId="10" fillId="7" borderId="1" xfId="8" applyNumberFormat="1" applyFont="1" applyFill="1" applyBorder="1" applyAlignment="1">
      <alignment horizontal="left" vertical="center"/>
    </xf>
    <xf numFmtId="0" fontId="19" fillId="6" borderId="0" xfId="0" applyFont="1" applyFill="1" applyAlignment="1">
      <alignment horizontal="center"/>
    </xf>
    <xf numFmtId="17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</cellXfs>
  <cellStyles count="9">
    <cellStyle name="Comma" xfId="1" builtinId="3"/>
    <cellStyle name="Comma 2" xfId="2" xr:uid="{00000000-0005-0000-0000-000001000000}"/>
    <cellStyle name="Hyperlink" xfId="8" builtinId="8"/>
    <cellStyle name="Normal" xfId="0" builtinId="0"/>
    <cellStyle name="Normal 2" xfId="3" xr:uid="{00000000-0005-0000-0000-000004000000}"/>
    <cellStyle name="Normal 3" xfId="4" xr:uid="{00000000-0005-0000-0000-000005000000}"/>
    <cellStyle name="Normal 4" xfId="5" xr:uid="{00000000-0005-0000-0000-000006000000}"/>
    <cellStyle name="Normal 5" xfId="6" xr:uid="{00000000-0005-0000-0000-000007000000}"/>
    <cellStyle name="Normal 6" xfId="7" xr:uid="{00000000-0005-0000-0000-000008000000}"/>
  </cellStyles>
  <dxfs count="0"/>
  <tableStyles count="0" defaultTableStyle="TableStyleMedium9" defaultPivotStyle="PivotStyleLight16"/>
  <colors>
    <mruColors>
      <color rgb="FFFF9933"/>
      <color rgb="FFFF9966"/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GST@18%25" TargetMode="External"/><Relationship Id="rId1" Type="http://schemas.openxmlformats.org/officeDocument/2006/relationships/hyperlink" Target="mailto:GST@18%25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opLeftCell="A52" workbookViewId="0">
      <selection activeCell="J20" sqref="J20"/>
    </sheetView>
  </sheetViews>
  <sheetFormatPr defaultRowHeight="15" x14ac:dyDescent="0.25"/>
  <cols>
    <col min="1" max="1" width="5.28515625" customWidth="1"/>
    <col min="2" max="2" width="10.42578125" bestFit="1" customWidth="1"/>
    <col min="3" max="3" width="16.42578125" customWidth="1"/>
    <col min="4" max="4" width="15.5703125" customWidth="1"/>
    <col min="5" max="5" width="20.5703125" customWidth="1"/>
    <col min="6" max="6" width="7.7109375" customWidth="1"/>
    <col min="7" max="7" width="12.42578125" customWidth="1"/>
  </cols>
  <sheetData>
    <row r="1" spans="1:7" s="5" customFormat="1" ht="12.75" x14ac:dyDescent="0.2">
      <c r="A1" s="67" t="s">
        <v>39</v>
      </c>
      <c r="B1" s="67" t="s">
        <v>558</v>
      </c>
      <c r="C1" s="67" t="s">
        <v>0</v>
      </c>
      <c r="D1" s="67" t="s">
        <v>1</v>
      </c>
      <c r="E1" s="67" t="s">
        <v>2</v>
      </c>
      <c r="F1" s="67" t="s">
        <v>559</v>
      </c>
      <c r="G1" s="67" t="s">
        <v>3</v>
      </c>
    </row>
    <row r="2" spans="1:7" s="5" customFormat="1" ht="12.75" x14ac:dyDescent="0.2">
      <c r="A2" s="68">
        <v>1</v>
      </c>
      <c r="B2" s="69">
        <v>45444.552835648137</v>
      </c>
      <c r="C2" s="68" t="s">
        <v>9</v>
      </c>
      <c r="D2" s="68" t="s">
        <v>10</v>
      </c>
      <c r="E2" s="70" t="s">
        <v>11</v>
      </c>
      <c r="F2" s="68">
        <v>25000</v>
      </c>
      <c r="G2" s="68" t="s">
        <v>6</v>
      </c>
    </row>
    <row r="3" spans="1:7" s="5" customFormat="1" ht="12.75" x14ac:dyDescent="0.2">
      <c r="A3" s="68">
        <v>2</v>
      </c>
      <c r="B3" s="69">
        <v>45444.695555555547</v>
      </c>
      <c r="C3" s="68" t="s">
        <v>251</v>
      </c>
      <c r="D3" s="68" t="s">
        <v>239</v>
      </c>
      <c r="E3" s="70"/>
      <c r="F3" s="68">
        <v>300000</v>
      </c>
      <c r="G3" s="68" t="s">
        <v>560</v>
      </c>
    </row>
    <row r="4" spans="1:7" s="5" customFormat="1" ht="12.75" x14ac:dyDescent="0.2">
      <c r="A4" s="68">
        <v>3</v>
      </c>
      <c r="B4" s="69">
        <v>45444.696226851847</v>
      </c>
      <c r="C4" s="68" t="s">
        <v>241</v>
      </c>
      <c r="D4" s="68" t="s">
        <v>239</v>
      </c>
      <c r="E4" s="70" t="s">
        <v>242</v>
      </c>
      <c r="F4" s="68">
        <v>400000</v>
      </c>
      <c r="G4" s="68" t="s">
        <v>560</v>
      </c>
    </row>
    <row r="5" spans="1:7" s="5" customFormat="1" ht="12.75" x14ac:dyDescent="0.2">
      <c r="A5" s="68">
        <v>4</v>
      </c>
      <c r="B5" s="69">
        <v>45444.77548611111</v>
      </c>
      <c r="C5" s="68" t="s">
        <v>4</v>
      </c>
      <c r="D5" s="68" t="s">
        <v>5</v>
      </c>
      <c r="E5" s="70" t="s">
        <v>12</v>
      </c>
      <c r="F5" s="68">
        <v>40000</v>
      </c>
      <c r="G5" s="68" t="s">
        <v>6</v>
      </c>
    </row>
    <row r="6" spans="1:7" s="5" customFormat="1" ht="12.75" x14ac:dyDescent="0.2">
      <c r="A6" s="68">
        <v>5</v>
      </c>
      <c r="B6" s="69">
        <v>45444.775601851848</v>
      </c>
      <c r="C6" s="68" t="s">
        <v>9</v>
      </c>
      <c r="D6" s="68" t="s">
        <v>7</v>
      </c>
      <c r="E6" s="70" t="s">
        <v>8</v>
      </c>
      <c r="F6" s="68">
        <v>21467</v>
      </c>
      <c r="G6" s="68" t="s">
        <v>6</v>
      </c>
    </row>
    <row r="7" spans="1:7" s="5" customFormat="1" ht="12.75" x14ac:dyDescent="0.2">
      <c r="A7" s="68">
        <v>6</v>
      </c>
      <c r="B7" s="69">
        <v>45444.775902777779</v>
      </c>
      <c r="C7" s="68" t="s">
        <v>561</v>
      </c>
      <c r="D7" s="68" t="s">
        <v>245</v>
      </c>
      <c r="E7" s="70"/>
      <c r="F7" s="68">
        <v>80000</v>
      </c>
      <c r="G7" s="68" t="s">
        <v>6</v>
      </c>
    </row>
    <row r="8" spans="1:7" s="5" customFormat="1" ht="12.75" x14ac:dyDescent="0.2">
      <c r="A8" s="68">
        <v>7</v>
      </c>
      <c r="B8" s="69">
        <v>45445.734722222223</v>
      </c>
      <c r="C8" s="68" t="s">
        <v>9</v>
      </c>
      <c r="D8" s="68" t="s">
        <v>10</v>
      </c>
      <c r="E8" s="70" t="s">
        <v>11</v>
      </c>
      <c r="F8" s="68">
        <v>15000</v>
      </c>
      <c r="G8" s="68" t="s">
        <v>6</v>
      </c>
    </row>
    <row r="9" spans="1:7" s="5" customFormat="1" ht="12.75" x14ac:dyDescent="0.2">
      <c r="A9" s="68">
        <v>8</v>
      </c>
      <c r="B9" s="69">
        <v>45446.52412037037</v>
      </c>
      <c r="C9" s="68" t="s">
        <v>251</v>
      </c>
      <c r="D9" s="68" t="s">
        <v>7</v>
      </c>
      <c r="E9" s="70" t="s">
        <v>252</v>
      </c>
      <c r="F9" s="68">
        <v>147642</v>
      </c>
      <c r="G9" s="68" t="s">
        <v>6</v>
      </c>
    </row>
    <row r="10" spans="1:7" s="5" customFormat="1" ht="12.75" x14ac:dyDescent="0.2">
      <c r="A10" s="68">
        <v>9</v>
      </c>
      <c r="B10" s="69">
        <v>45446.846724537027</v>
      </c>
      <c r="C10" s="68" t="s">
        <v>561</v>
      </c>
      <c r="D10" s="68" t="s">
        <v>238</v>
      </c>
      <c r="E10" s="70"/>
      <c r="F10" s="68">
        <v>10000</v>
      </c>
      <c r="G10" s="68" t="s">
        <v>6</v>
      </c>
    </row>
    <row r="11" spans="1:7" s="5" customFormat="1" ht="12.75" x14ac:dyDescent="0.2">
      <c r="A11" s="68">
        <v>10</v>
      </c>
      <c r="B11" s="69">
        <v>45447.599247685182</v>
      </c>
      <c r="C11" s="68" t="s">
        <v>561</v>
      </c>
      <c r="D11" s="68" t="s">
        <v>238</v>
      </c>
      <c r="E11" s="70"/>
      <c r="F11" s="68">
        <v>10000</v>
      </c>
      <c r="G11" s="68" t="s">
        <v>6</v>
      </c>
    </row>
    <row r="12" spans="1:7" s="5" customFormat="1" ht="12.75" x14ac:dyDescent="0.2">
      <c r="A12" s="68">
        <v>11</v>
      </c>
      <c r="B12" s="69">
        <v>45447.760798611111</v>
      </c>
      <c r="C12" s="68" t="s">
        <v>4</v>
      </c>
      <c r="D12" s="68" t="s">
        <v>245</v>
      </c>
      <c r="E12" s="70" t="s">
        <v>17</v>
      </c>
      <c r="F12" s="68">
        <v>28000</v>
      </c>
      <c r="G12" s="68" t="s">
        <v>6</v>
      </c>
    </row>
    <row r="13" spans="1:7" s="5" customFormat="1" ht="12.75" x14ac:dyDescent="0.2">
      <c r="A13" s="68">
        <v>12</v>
      </c>
      <c r="B13" s="69">
        <v>45448.455775462957</v>
      </c>
      <c r="C13" s="68" t="s">
        <v>561</v>
      </c>
      <c r="D13" s="68" t="s">
        <v>238</v>
      </c>
      <c r="E13" s="70"/>
      <c r="F13" s="68">
        <v>10000</v>
      </c>
      <c r="G13" s="68" t="s">
        <v>6</v>
      </c>
    </row>
    <row r="14" spans="1:7" s="5" customFormat="1" ht="12.75" x14ac:dyDescent="0.2">
      <c r="A14" s="68">
        <v>13</v>
      </c>
      <c r="B14" s="69">
        <v>45448.455925925933</v>
      </c>
      <c r="C14" s="68" t="s">
        <v>9</v>
      </c>
      <c r="D14" s="68" t="s">
        <v>239</v>
      </c>
      <c r="E14" s="70" t="s">
        <v>250</v>
      </c>
      <c r="F14" s="68">
        <v>185000</v>
      </c>
      <c r="G14" s="68" t="s">
        <v>560</v>
      </c>
    </row>
    <row r="15" spans="1:7" s="5" customFormat="1" ht="12.75" x14ac:dyDescent="0.2">
      <c r="A15" s="68">
        <v>14</v>
      </c>
      <c r="B15" s="69">
        <v>45448.457418981481</v>
      </c>
      <c r="C15" s="68" t="s">
        <v>9</v>
      </c>
      <c r="D15" s="68" t="s">
        <v>239</v>
      </c>
      <c r="E15" s="70" t="s">
        <v>249</v>
      </c>
      <c r="F15" s="68">
        <v>65000</v>
      </c>
      <c r="G15" s="68" t="s">
        <v>560</v>
      </c>
    </row>
    <row r="16" spans="1:7" s="5" customFormat="1" ht="12.75" x14ac:dyDescent="0.2">
      <c r="A16" s="68">
        <v>15</v>
      </c>
      <c r="B16" s="69">
        <v>45448.849062499998</v>
      </c>
      <c r="C16" s="68" t="s">
        <v>561</v>
      </c>
      <c r="D16" s="68" t="s">
        <v>238</v>
      </c>
      <c r="E16" s="70"/>
      <c r="F16" s="68">
        <v>30000</v>
      </c>
      <c r="G16" s="68" t="s">
        <v>6</v>
      </c>
    </row>
    <row r="17" spans="1:7" s="5" customFormat="1" ht="12.75" x14ac:dyDescent="0.2">
      <c r="A17" s="68">
        <v>16</v>
      </c>
      <c r="B17" s="69">
        <v>45448.849189814813</v>
      </c>
      <c r="C17" s="68" t="s">
        <v>18</v>
      </c>
      <c r="D17" s="68" t="s">
        <v>245</v>
      </c>
      <c r="E17" s="70" t="s">
        <v>248</v>
      </c>
      <c r="F17" s="68">
        <v>50000</v>
      </c>
      <c r="G17" s="68" t="s">
        <v>6</v>
      </c>
    </row>
    <row r="18" spans="1:7" s="5" customFormat="1" ht="12.75" x14ac:dyDescent="0.2">
      <c r="A18" s="68">
        <v>17</v>
      </c>
      <c r="B18" s="69">
        <v>45449.575370370367</v>
      </c>
      <c r="C18" s="68" t="s">
        <v>561</v>
      </c>
      <c r="D18" s="68" t="s">
        <v>238</v>
      </c>
      <c r="E18" s="70"/>
      <c r="F18" s="68">
        <v>10000</v>
      </c>
      <c r="G18" s="68" t="s">
        <v>6</v>
      </c>
    </row>
    <row r="19" spans="1:7" s="5" customFormat="1" ht="12.75" x14ac:dyDescent="0.2">
      <c r="A19" s="68">
        <v>18</v>
      </c>
      <c r="B19" s="69">
        <v>45449.575486111113</v>
      </c>
      <c r="C19" s="68" t="s">
        <v>4</v>
      </c>
      <c r="D19" s="68" t="s">
        <v>5</v>
      </c>
      <c r="E19" s="70" t="s">
        <v>13</v>
      </c>
      <c r="F19" s="68">
        <v>25000</v>
      </c>
      <c r="G19" s="68" t="s">
        <v>6</v>
      </c>
    </row>
    <row r="20" spans="1:7" s="5" customFormat="1" ht="12.75" x14ac:dyDescent="0.2">
      <c r="A20" s="68">
        <v>19</v>
      </c>
      <c r="B20" s="69">
        <v>45449.761562500003</v>
      </c>
      <c r="C20" s="68" t="s">
        <v>4</v>
      </c>
      <c r="D20" s="68" t="s">
        <v>245</v>
      </c>
      <c r="E20" s="70" t="s">
        <v>247</v>
      </c>
      <c r="F20" s="68">
        <v>20000</v>
      </c>
      <c r="G20" s="68" t="s">
        <v>6</v>
      </c>
    </row>
    <row r="21" spans="1:7" s="5" customFormat="1" ht="12.75" x14ac:dyDescent="0.2">
      <c r="A21" s="68">
        <v>20</v>
      </c>
      <c r="B21" s="69">
        <v>45449.762060185189</v>
      </c>
      <c r="C21" s="68" t="s">
        <v>4</v>
      </c>
      <c r="D21" s="68" t="s">
        <v>245</v>
      </c>
      <c r="E21" s="70" t="s">
        <v>246</v>
      </c>
      <c r="F21" s="68">
        <v>17000</v>
      </c>
      <c r="G21" s="68" t="s">
        <v>6</v>
      </c>
    </row>
    <row r="22" spans="1:7" s="5" customFormat="1" ht="12.75" x14ac:dyDescent="0.2">
      <c r="A22" s="68">
        <v>21</v>
      </c>
      <c r="B22" s="69">
        <v>45451.548344907409</v>
      </c>
      <c r="C22" s="68" t="s">
        <v>241</v>
      </c>
      <c r="D22" s="68" t="s">
        <v>7</v>
      </c>
      <c r="E22" s="70" t="s">
        <v>562</v>
      </c>
      <c r="F22" s="68">
        <v>64835</v>
      </c>
      <c r="G22" s="68" t="s">
        <v>6</v>
      </c>
    </row>
    <row r="23" spans="1:7" s="5" customFormat="1" ht="12.75" x14ac:dyDescent="0.2">
      <c r="A23" s="68">
        <v>22</v>
      </c>
      <c r="B23" s="69">
        <v>45451.595671296287</v>
      </c>
      <c r="C23" s="68" t="s">
        <v>4</v>
      </c>
      <c r="D23" s="68" t="s">
        <v>5</v>
      </c>
      <c r="E23" s="70" t="s">
        <v>15</v>
      </c>
      <c r="F23" s="68">
        <v>30000</v>
      </c>
      <c r="G23" s="68" t="s">
        <v>6</v>
      </c>
    </row>
    <row r="24" spans="1:7" s="5" customFormat="1" ht="12.75" x14ac:dyDescent="0.2">
      <c r="A24" s="68">
        <v>23</v>
      </c>
      <c r="B24" s="69">
        <v>45451.595810185187</v>
      </c>
      <c r="C24" s="68" t="s">
        <v>4</v>
      </c>
      <c r="D24" s="68" t="s">
        <v>5</v>
      </c>
      <c r="E24" s="70" t="s">
        <v>25</v>
      </c>
      <c r="F24" s="68">
        <v>35000</v>
      </c>
      <c r="G24" s="68" t="s">
        <v>6</v>
      </c>
    </row>
    <row r="25" spans="1:7" s="5" customFormat="1" ht="12.75" x14ac:dyDescent="0.2">
      <c r="A25" s="68">
        <v>24</v>
      </c>
      <c r="B25" s="69">
        <v>45451.712407407409</v>
      </c>
      <c r="C25" s="68" t="s">
        <v>4</v>
      </c>
      <c r="D25" s="68" t="s">
        <v>5</v>
      </c>
      <c r="E25" s="70" t="s">
        <v>13</v>
      </c>
      <c r="F25" s="68">
        <v>25000</v>
      </c>
      <c r="G25" s="68" t="s">
        <v>6</v>
      </c>
    </row>
    <row r="26" spans="1:7" s="5" customFormat="1" ht="12.75" x14ac:dyDescent="0.2">
      <c r="A26" s="68">
        <v>25</v>
      </c>
      <c r="B26" s="69">
        <v>45451.716527777768</v>
      </c>
      <c r="C26" s="68" t="s">
        <v>9</v>
      </c>
      <c r="D26" s="68" t="s">
        <v>245</v>
      </c>
      <c r="E26" s="70" t="s">
        <v>240</v>
      </c>
      <c r="F26" s="68">
        <v>68000</v>
      </c>
      <c r="G26" s="68" t="s">
        <v>6</v>
      </c>
    </row>
    <row r="27" spans="1:7" s="5" customFormat="1" ht="12.75" x14ac:dyDescent="0.2">
      <c r="A27" s="68">
        <v>26</v>
      </c>
      <c r="B27" s="69">
        <v>45451.788240740738</v>
      </c>
      <c r="C27" s="68" t="s">
        <v>4</v>
      </c>
      <c r="D27" s="68" t="s">
        <v>238</v>
      </c>
      <c r="E27" s="70" t="s">
        <v>244</v>
      </c>
      <c r="F27" s="68">
        <v>15000</v>
      </c>
      <c r="G27" s="68" t="s">
        <v>6</v>
      </c>
    </row>
    <row r="28" spans="1:7" s="5" customFormat="1" ht="12.75" x14ac:dyDescent="0.2">
      <c r="A28" s="68">
        <v>27</v>
      </c>
      <c r="B28" s="69">
        <v>45451.907083333332</v>
      </c>
      <c r="C28" s="68" t="s">
        <v>4</v>
      </c>
      <c r="D28" s="68" t="s">
        <v>5</v>
      </c>
      <c r="E28" s="70" t="s">
        <v>12</v>
      </c>
      <c r="F28" s="68">
        <v>5000</v>
      </c>
      <c r="G28" s="68" t="s">
        <v>6</v>
      </c>
    </row>
    <row r="29" spans="1:7" s="5" customFormat="1" ht="12.75" x14ac:dyDescent="0.2">
      <c r="A29" s="68">
        <v>28</v>
      </c>
      <c r="B29" s="69">
        <v>45452.569745370369</v>
      </c>
      <c r="C29" s="68" t="s">
        <v>9</v>
      </c>
      <c r="D29" s="68" t="s">
        <v>10</v>
      </c>
      <c r="E29" s="70" t="s">
        <v>11</v>
      </c>
      <c r="F29" s="68">
        <v>15000</v>
      </c>
      <c r="G29" s="68" t="s">
        <v>6</v>
      </c>
    </row>
    <row r="30" spans="1:7" s="5" customFormat="1" ht="12.75" x14ac:dyDescent="0.2">
      <c r="A30" s="68">
        <v>29</v>
      </c>
      <c r="B30" s="69">
        <v>45453.450532407413</v>
      </c>
      <c r="C30" s="68" t="s">
        <v>241</v>
      </c>
      <c r="D30" s="68" t="s">
        <v>7</v>
      </c>
      <c r="E30" s="70" t="s">
        <v>243</v>
      </c>
      <c r="F30" s="68">
        <v>64835</v>
      </c>
      <c r="G30" s="68" t="s">
        <v>6</v>
      </c>
    </row>
    <row r="31" spans="1:7" s="5" customFormat="1" ht="12.75" x14ac:dyDescent="0.2">
      <c r="A31" s="68">
        <v>30</v>
      </c>
      <c r="B31" s="69">
        <v>45453.576874999999</v>
      </c>
      <c r="C31" s="68" t="s">
        <v>4</v>
      </c>
      <c r="D31" s="68" t="s">
        <v>5</v>
      </c>
      <c r="E31" s="70" t="s">
        <v>13</v>
      </c>
      <c r="F31" s="68">
        <v>25000</v>
      </c>
      <c r="G31" s="68" t="s">
        <v>6</v>
      </c>
    </row>
    <row r="32" spans="1:7" s="5" customFormat="1" ht="12.75" x14ac:dyDescent="0.2">
      <c r="A32" s="68">
        <v>31</v>
      </c>
      <c r="B32" s="69">
        <v>45453.577060185176</v>
      </c>
      <c r="C32" s="68" t="s">
        <v>4</v>
      </c>
      <c r="D32" s="68" t="s">
        <v>23</v>
      </c>
      <c r="E32" s="70" t="s">
        <v>24</v>
      </c>
      <c r="F32" s="68">
        <v>19000</v>
      </c>
      <c r="G32" s="68" t="s">
        <v>6</v>
      </c>
    </row>
    <row r="33" spans="1:7" s="5" customFormat="1" ht="12.75" x14ac:dyDescent="0.2">
      <c r="A33" s="68">
        <v>32</v>
      </c>
      <c r="B33" s="69">
        <v>45454.389351851853</v>
      </c>
      <c r="C33" s="68" t="s">
        <v>561</v>
      </c>
      <c r="D33" s="68" t="s">
        <v>7</v>
      </c>
      <c r="E33" s="70"/>
      <c r="F33" s="68">
        <v>15000</v>
      </c>
      <c r="G33" s="68" t="s">
        <v>6</v>
      </c>
    </row>
    <row r="34" spans="1:7" s="5" customFormat="1" ht="12.75" x14ac:dyDescent="0.2">
      <c r="A34" s="68">
        <v>33</v>
      </c>
      <c r="B34" s="69">
        <v>45454.830868055556</v>
      </c>
      <c r="C34" s="68" t="s">
        <v>4</v>
      </c>
      <c r="D34" s="68" t="s">
        <v>5</v>
      </c>
      <c r="E34" s="70" t="s">
        <v>13</v>
      </c>
      <c r="F34" s="68">
        <v>20000</v>
      </c>
      <c r="G34" s="68" t="s">
        <v>6</v>
      </c>
    </row>
    <row r="35" spans="1:7" s="5" customFormat="1" ht="12.75" x14ac:dyDescent="0.2">
      <c r="A35" s="68">
        <v>34</v>
      </c>
      <c r="B35" s="69">
        <v>45455.545590277783</v>
      </c>
      <c r="C35" s="68" t="s">
        <v>18</v>
      </c>
      <c r="D35" s="68" t="s">
        <v>239</v>
      </c>
      <c r="E35" s="70"/>
      <c r="F35" s="68">
        <v>482500</v>
      </c>
      <c r="G35" s="68" t="s">
        <v>560</v>
      </c>
    </row>
    <row r="36" spans="1:7" s="5" customFormat="1" ht="12.75" x14ac:dyDescent="0.2">
      <c r="A36" s="68">
        <v>35</v>
      </c>
      <c r="B36" s="69">
        <v>45455.602199074077</v>
      </c>
      <c r="C36" s="68" t="s">
        <v>21</v>
      </c>
      <c r="D36" s="68" t="s">
        <v>239</v>
      </c>
      <c r="E36" s="70"/>
      <c r="F36" s="68">
        <v>500000</v>
      </c>
      <c r="G36" s="68" t="s">
        <v>560</v>
      </c>
    </row>
    <row r="37" spans="1:7" s="5" customFormat="1" ht="12.75" x14ac:dyDescent="0.2">
      <c r="A37" s="68">
        <v>36</v>
      </c>
      <c r="B37" s="69">
        <v>45455.902326388888</v>
      </c>
      <c r="C37" s="68" t="s">
        <v>4</v>
      </c>
      <c r="D37" s="68" t="s">
        <v>5</v>
      </c>
      <c r="E37" s="70" t="s">
        <v>563</v>
      </c>
      <c r="F37" s="68">
        <v>30000</v>
      </c>
      <c r="G37" s="68" t="s">
        <v>6</v>
      </c>
    </row>
    <row r="38" spans="1:7" s="5" customFormat="1" ht="12.75" x14ac:dyDescent="0.2">
      <c r="A38" s="68">
        <v>37</v>
      </c>
      <c r="B38" s="69">
        <v>45456.622199074067</v>
      </c>
      <c r="C38" s="68" t="s">
        <v>9</v>
      </c>
      <c r="D38" s="68" t="s">
        <v>7</v>
      </c>
      <c r="E38" s="70" t="s">
        <v>563</v>
      </c>
      <c r="F38" s="68">
        <v>20000</v>
      </c>
      <c r="G38" s="68" t="s">
        <v>6</v>
      </c>
    </row>
    <row r="39" spans="1:7" s="5" customFormat="1" ht="12.75" x14ac:dyDescent="0.2">
      <c r="A39" s="68">
        <v>38</v>
      </c>
      <c r="B39" s="69">
        <v>45456.780949074076</v>
      </c>
      <c r="C39" s="68" t="s">
        <v>561</v>
      </c>
      <c r="D39" s="68" t="s">
        <v>238</v>
      </c>
      <c r="E39" s="70"/>
      <c r="F39" s="68">
        <v>5000</v>
      </c>
      <c r="G39" s="68" t="s">
        <v>6</v>
      </c>
    </row>
    <row r="40" spans="1:7" s="5" customFormat="1" ht="12.75" x14ac:dyDescent="0.2">
      <c r="A40" s="68">
        <v>39</v>
      </c>
      <c r="B40" s="69">
        <v>45456.781076388892</v>
      </c>
      <c r="C40" s="68" t="s">
        <v>9</v>
      </c>
      <c r="D40" s="68" t="s">
        <v>10</v>
      </c>
      <c r="E40" s="70" t="s">
        <v>11</v>
      </c>
      <c r="F40" s="68">
        <v>5000</v>
      </c>
      <c r="G40" s="68" t="s">
        <v>6</v>
      </c>
    </row>
    <row r="41" spans="1:7" s="5" customFormat="1" ht="12.75" x14ac:dyDescent="0.2">
      <c r="A41" s="68">
        <v>40</v>
      </c>
      <c r="B41" s="69">
        <v>45457.597280092603</v>
      </c>
      <c r="C41" s="68" t="s">
        <v>561</v>
      </c>
      <c r="D41" s="68" t="s">
        <v>238</v>
      </c>
      <c r="E41" s="70"/>
      <c r="F41" s="68">
        <v>20000</v>
      </c>
      <c r="G41" s="68" t="s">
        <v>6</v>
      </c>
    </row>
    <row r="42" spans="1:7" s="5" customFormat="1" ht="12.75" x14ac:dyDescent="0.2">
      <c r="A42" s="68">
        <v>41</v>
      </c>
      <c r="B42" s="69">
        <v>45458.71974537037</v>
      </c>
      <c r="C42" s="68" t="s">
        <v>9</v>
      </c>
      <c r="D42" s="68" t="s">
        <v>7</v>
      </c>
      <c r="E42" s="70" t="s">
        <v>564</v>
      </c>
      <c r="F42" s="68">
        <v>300000</v>
      </c>
      <c r="G42" s="68" t="s">
        <v>6</v>
      </c>
    </row>
    <row r="43" spans="1:7" s="5" customFormat="1" ht="12.75" x14ac:dyDescent="0.2">
      <c r="A43" s="68">
        <v>42</v>
      </c>
      <c r="B43" s="69">
        <v>45458.720254629632</v>
      </c>
      <c r="C43" s="68" t="s">
        <v>9</v>
      </c>
      <c r="D43" s="68" t="s">
        <v>7</v>
      </c>
      <c r="E43" s="70" t="s">
        <v>27</v>
      </c>
      <c r="F43" s="68">
        <v>100000</v>
      </c>
      <c r="G43" s="68" t="s">
        <v>6</v>
      </c>
    </row>
    <row r="44" spans="1:7" s="5" customFormat="1" ht="12.75" x14ac:dyDescent="0.2">
      <c r="A44" s="68">
        <v>43</v>
      </c>
      <c r="B44" s="69">
        <v>45458.720439814817</v>
      </c>
      <c r="C44" s="68" t="s">
        <v>21</v>
      </c>
      <c r="D44" s="68" t="s">
        <v>7</v>
      </c>
      <c r="E44" s="70" t="s">
        <v>22</v>
      </c>
      <c r="F44" s="68">
        <v>200000</v>
      </c>
      <c r="G44" s="68" t="s">
        <v>6</v>
      </c>
    </row>
    <row r="45" spans="1:7" s="5" customFormat="1" ht="12.75" x14ac:dyDescent="0.2">
      <c r="A45" s="68">
        <v>44</v>
      </c>
      <c r="B45" s="69">
        <v>45458.720810185187</v>
      </c>
      <c r="C45" s="68" t="s">
        <v>9</v>
      </c>
      <c r="D45" s="68" t="s">
        <v>7</v>
      </c>
      <c r="E45" s="70" t="s">
        <v>565</v>
      </c>
      <c r="F45" s="68">
        <v>50000</v>
      </c>
      <c r="G45" s="68" t="s">
        <v>6</v>
      </c>
    </row>
    <row r="46" spans="1:7" s="5" customFormat="1" ht="12.75" x14ac:dyDescent="0.2">
      <c r="A46" s="68">
        <v>45</v>
      </c>
      <c r="B46" s="69">
        <v>45458.721053240741</v>
      </c>
      <c r="C46" s="68" t="s">
        <v>9</v>
      </c>
      <c r="D46" s="68" t="s">
        <v>7</v>
      </c>
      <c r="E46" s="70" t="s">
        <v>554</v>
      </c>
      <c r="F46" s="68">
        <v>7930</v>
      </c>
      <c r="G46" s="68" t="s">
        <v>6</v>
      </c>
    </row>
    <row r="47" spans="1:7" s="5" customFormat="1" ht="12.75" x14ac:dyDescent="0.2">
      <c r="A47" s="68">
        <v>46</v>
      </c>
      <c r="B47" s="69">
        <v>45458.721597222233</v>
      </c>
      <c r="C47" s="68" t="s">
        <v>9</v>
      </c>
      <c r="D47" s="68" t="s">
        <v>245</v>
      </c>
      <c r="E47" s="70"/>
      <c r="F47" s="68">
        <v>50000</v>
      </c>
      <c r="G47" s="68" t="s">
        <v>6</v>
      </c>
    </row>
    <row r="48" spans="1:7" s="5" customFormat="1" ht="12.75" x14ac:dyDescent="0.2">
      <c r="A48" s="68">
        <v>47</v>
      </c>
      <c r="B48" s="69">
        <v>45459.518657407411</v>
      </c>
      <c r="C48" s="68" t="s">
        <v>9</v>
      </c>
      <c r="D48" s="68" t="s">
        <v>10</v>
      </c>
      <c r="E48" s="70" t="s">
        <v>11</v>
      </c>
      <c r="F48" s="68">
        <v>50000</v>
      </c>
      <c r="G48" s="68" t="s">
        <v>6</v>
      </c>
    </row>
    <row r="49" spans="1:7" s="5" customFormat="1" ht="12.75" x14ac:dyDescent="0.2">
      <c r="A49" s="68">
        <v>48</v>
      </c>
      <c r="B49" s="69">
        <v>45459.518819444442</v>
      </c>
      <c r="C49" s="68" t="s">
        <v>4</v>
      </c>
      <c r="D49" s="68" t="s">
        <v>23</v>
      </c>
      <c r="E49" s="70" t="s">
        <v>244</v>
      </c>
      <c r="F49" s="68">
        <v>10000</v>
      </c>
      <c r="G49" s="68" t="s">
        <v>6</v>
      </c>
    </row>
    <row r="50" spans="1:7" s="5" customFormat="1" ht="12.75" x14ac:dyDescent="0.2">
      <c r="A50" s="68">
        <v>49</v>
      </c>
      <c r="B50" s="69">
        <v>45459.593715277777</v>
      </c>
      <c r="C50" s="68" t="s">
        <v>561</v>
      </c>
      <c r="D50" s="68" t="s">
        <v>238</v>
      </c>
      <c r="E50" s="70"/>
      <c r="F50" s="68">
        <v>60000</v>
      </c>
      <c r="G50" s="68" t="s">
        <v>6</v>
      </c>
    </row>
    <row r="51" spans="1:7" s="5" customFormat="1" ht="12.75" x14ac:dyDescent="0.2">
      <c r="A51" s="68">
        <v>50</v>
      </c>
      <c r="B51" s="69">
        <v>45460.923634259263</v>
      </c>
      <c r="C51" s="68" t="s">
        <v>9</v>
      </c>
      <c r="D51" s="68" t="s">
        <v>10</v>
      </c>
      <c r="E51" s="70" t="s">
        <v>11</v>
      </c>
      <c r="F51" s="68">
        <v>100000</v>
      </c>
      <c r="G51" s="68" t="s">
        <v>6</v>
      </c>
    </row>
    <row r="52" spans="1:7" s="5" customFormat="1" ht="12.75" x14ac:dyDescent="0.2">
      <c r="A52" s="68">
        <v>51</v>
      </c>
      <c r="B52" s="69">
        <v>45460.923796296287</v>
      </c>
      <c r="C52" s="68" t="s">
        <v>4</v>
      </c>
      <c r="D52" s="68" t="s">
        <v>5</v>
      </c>
      <c r="E52" s="70" t="s">
        <v>12</v>
      </c>
      <c r="F52" s="68">
        <v>5000</v>
      </c>
      <c r="G52" s="68" t="s">
        <v>6</v>
      </c>
    </row>
    <row r="53" spans="1:7" s="5" customFormat="1" ht="12.75" x14ac:dyDescent="0.2">
      <c r="A53" s="68">
        <v>52</v>
      </c>
      <c r="B53" s="69">
        <v>45462.874675925923</v>
      </c>
      <c r="C53" s="68" t="s">
        <v>4</v>
      </c>
      <c r="D53" s="68" t="s">
        <v>5</v>
      </c>
      <c r="E53" s="70" t="s">
        <v>566</v>
      </c>
      <c r="F53" s="68">
        <v>25000</v>
      </c>
      <c r="G53" s="68" t="s">
        <v>6</v>
      </c>
    </row>
    <row r="54" spans="1:7" s="5" customFormat="1" ht="12.75" x14ac:dyDescent="0.2">
      <c r="A54" s="68">
        <v>53</v>
      </c>
      <c r="B54" s="69">
        <v>45463.658564814818</v>
      </c>
      <c r="C54" s="68" t="s">
        <v>4</v>
      </c>
      <c r="D54" s="68" t="s">
        <v>23</v>
      </c>
      <c r="E54" s="70" t="s">
        <v>567</v>
      </c>
      <c r="F54" s="68">
        <v>175600</v>
      </c>
      <c r="G54" s="68" t="s">
        <v>6</v>
      </c>
    </row>
    <row r="55" spans="1:7" s="5" customFormat="1" ht="12.75" x14ac:dyDescent="0.2">
      <c r="A55" s="68">
        <v>54</v>
      </c>
      <c r="B55" s="69">
        <v>45464.554826388892</v>
      </c>
      <c r="C55" s="68" t="s">
        <v>4</v>
      </c>
      <c r="D55" s="68" t="s">
        <v>5</v>
      </c>
      <c r="E55" s="70" t="s">
        <v>244</v>
      </c>
      <c r="F55" s="68">
        <v>15000</v>
      </c>
      <c r="G55" s="68" t="s">
        <v>6</v>
      </c>
    </row>
    <row r="56" spans="1:7" s="5" customFormat="1" ht="12.75" x14ac:dyDescent="0.2">
      <c r="A56" s="68">
        <v>55</v>
      </c>
      <c r="B56" s="69">
        <v>45465.523159722223</v>
      </c>
      <c r="C56" s="68" t="s">
        <v>21</v>
      </c>
      <c r="D56" s="68" t="s">
        <v>239</v>
      </c>
      <c r="E56" s="70"/>
      <c r="F56" s="68">
        <v>482500</v>
      </c>
      <c r="G56" s="68" t="s">
        <v>560</v>
      </c>
    </row>
    <row r="57" spans="1:7" s="5" customFormat="1" ht="12.75" x14ac:dyDescent="0.2">
      <c r="A57" s="68">
        <v>56</v>
      </c>
      <c r="B57" s="69">
        <v>45465.52447916667</v>
      </c>
      <c r="C57" s="68" t="s">
        <v>561</v>
      </c>
      <c r="D57" s="68" t="s">
        <v>23</v>
      </c>
      <c r="E57" s="70"/>
      <c r="F57" s="68">
        <v>175600</v>
      </c>
      <c r="G57" s="68" t="s">
        <v>6</v>
      </c>
    </row>
    <row r="58" spans="1:7" s="5" customFormat="1" ht="12.75" x14ac:dyDescent="0.2">
      <c r="A58" s="68">
        <v>57</v>
      </c>
      <c r="B58" s="69">
        <v>45465.598449074067</v>
      </c>
      <c r="C58" s="68" t="s">
        <v>561</v>
      </c>
      <c r="D58" s="68" t="s">
        <v>238</v>
      </c>
      <c r="E58" s="70"/>
      <c r="F58" s="68">
        <v>25000</v>
      </c>
      <c r="G58" s="68" t="s">
        <v>6</v>
      </c>
    </row>
    <row r="59" spans="1:7" s="5" customFormat="1" ht="12.75" x14ac:dyDescent="0.2">
      <c r="A59" s="68">
        <v>58</v>
      </c>
      <c r="B59" s="69">
        <v>45465.790138888893</v>
      </c>
      <c r="C59" s="68" t="s">
        <v>9</v>
      </c>
      <c r="D59" s="68" t="s">
        <v>7</v>
      </c>
      <c r="E59" s="70" t="s">
        <v>564</v>
      </c>
      <c r="F59" s="68">
        <v>200000</v>
      </c>
      <c r="G59" s="68" t="s">
        <v>6</v>
      </c>
    </row>
    <row r="60" spans="1:7" s="5" customFormat="1" ht="12.75" x14ac:dyDescent="0.2">
      <c r="A60" s="68">
        <v>59</v>
      </c>
      <c r="B60" s="69">
        <v>45465.790370370371</v>
      </c>
      <c r="C60" s="68" t="s">
        <v>9</v>
      </c>
      <c r="D60" s="68" t="s">
        <v>7</v>
      </c>
      <c r="E60" s="70" t="s">
        <v>568</v>
      </c>
      <c r="F60" s="68">
        <v>50000</v>
      </c>
      <c r="G60" s="68" t="s">
        <v>6</v>
      </c>
    </row>
    <row r="61" spans="1:7" s="5" customFormat="1" ht="12.75" x14ac:dyDescent="0.2">
      <c r="A61" s="68">
        <v>60</v>
      </c>
      <c r="B61" s="69">
        <v>45465.790543981479</v>
      </c>
      <c r="C61" s="68" t="s">
        <v>9</v>
      </c>
      <c r="D61" s="68" t="s">
        <v>7</v>
      </c>
      <c r="E61" s="70" t="s">
        <v>8</v>
      </c>
      <c r="F61" s="68">
        <v>18000</v>
      </c>
      <c r="G61" s="68" t="s">
        <v>6</v>
      </c>
    </row>
    <row r="62" spans="1:7" s="5" customFormat="1" ht="12.75" x14ac:dyDescent="0.2">
      <c r="A62" s="68">
        <v>61</v>
      </c>
      <c r="B62" s="69">
        <v>45465.79074074074</v>
      </c>
      <c r="C62" s="68" t="s">
        <v>21</v>
      </c>
      <c r="D62" s="68" t="s">
        <v>7</v>
      </c>
      <c r="E62" s="70" t="s">
        <v>22</v>
      </c>
      <c r="F62" s="68">
        <v>100000</v>
      </c>
      <c r="G62" s="68" t="s">
        <v>6</v>
      </c>
    </row>
    <row r="63" spans="1:7" s="5" customFormat="1" ht="12.75" x14ac:dyDescent="0.2">
      <c r="A63" s="68">
        <v>62</v>
      </c>
      <c r="B63" s="69">
        <v>45465.791006944448</v>
      </c>
      <c r="C63" s="68" t="s">
        <v>242</v>
      </c>
      <c r="D63" s="68" t="s">
        <v>238</v>
      </c>
      <c r="E63" s="70"/>
      <c r="F63" s="68">
        <v>36500</v>
      </c>
      <c r="G63" s="68" t="s">
        <v>6</v>
      </c>
    </row>
    <row r="64" spans="1:7" s="5" customFormat="1" ht="12.75" x14ac:dyDescent="0.2">
      <c r="A64" s="68">
        <v>63</v>
      </c>
      <c r="B64" s="69">
        <v>45466.608217592591</v>
      </c>
      <c r="C64" s="68" t="s">
        <v>9</v>
      </c>
      <c r="D64" s="68" t="s">
        <v>10</v>
      </c>
      <c r="E64" s="70" t="s">
        <v>11</v>
      </c>
      <c r="F64" s="68">
        <v>140000</v>
      </c>
      <c r="G64" s="68" t="s">
        <v>6</v>
      </c>
    </row>
    <row r="65" spans="1:7" s="5" customFormat="1" ht="12.75" x14ac:dyDescent="0.2">
      <c r="A65" s="68">
        <v>64</v>
      </c>
      <c r="B65" s="69">
        <v>45467.468078703707</v>
      </c>
      <c r="C65" s="68" t="s">
        <v>561</v>
      </c>
      <c r="D65" s="68" t="s">
        <v>7</v>
      </c>
      <c r="E65" s="70"/>
      <c r="F65" s="68">
        <v>129000</v>
      </c>
      <c r="G65" s="68" t="s">
        <v>6</v>
      </c>
    </row>
    <row r="66" spans="1:7" s="5" customFormat="1" ht="12.75" x14ac:dyDescent="0.2">
      <c r="A66" s="68">
        <v>65</v>
      </c>
      <c r="B66" s="69">
        <v>45468.432662037027</v>
      </c>
      <c r="C66" s="68" t="s">
        <v>561</v>
      </c>
      <c r="D66" s="68" t="s">
        <v>238</v>
      </c>
      <c r="E66" s="70"/>
      <c r="F66" s="68">
        <v>5000</v>
      </c>
      <c r="G66" s="68" t="s">
        <v>6</v>
      </c>
    </row>
    <row r="67" spans="1:7" s="5" customFormat="1" ht="12.75" x14ac:dyDescent="0.2">
      <c r="A67" s="68">
        <v>66</v>
      </c>
      <c r="B67" s="69">
        <v>45469.830034722218</v>
      </c>
      <c r="C67" s="68" t="s">
        <v>9</v>
      </c>
      <c r="D67" s="68" t="s">
        <v>10</v>
      </c>
      <c r="E67" s="70" t="s">
        <v>569</v>
      </c>
      <c r="F67" s="68">
        <v>30000</v>
      </c>
      <c r="G67" s="68" t="s">
        <v>6</v>
      </c>
    </row>
    <row r="68" spans="1:7" s="5" customFormat="1" ht="12.75" x14ac:dyDescent="0.2">
      <c r="A68" s="68">
        <v>67</v>
      </c>
      <c r="B68" s="69">
        <v>45470.595532407409</v>
      </c>
      <c r="C68" s="68" t="s">
        <v>561</v>
      </c>
      <c r="D68" s="68" t="s">
        <v>238</v>
      </c>
      <c r="E68" s="70"/>
      <c r="F68" s="68">
        <v>5000</v>
      </c>
      <c r="G68" s="68" t="s">
        <v>6</v>
      </c>
    </row>
    <row r="69" spans="1:7" s="5" customFormat="1" ht="12.75" x14ac:dyDescent="0.2">
      <c r="A69" s="68">
        <v>68</v>
      </c>
      <c r="B69" s="69">
        <v>45470.595625000002</v>
      </c>
      <c r="C69" s="68" t="s">
        <v>9</v>
      </c>
      <c r="D69" s="68" t="s">
        <v>7</v>
      </c>
      <c r="E69" s="70" t="s">
        <v>570</v>
      </c>
      <c r="F69" s="68">
        <v>56000</v>
      </c>
      <c r="G69" s="68" t="s">
        <v>6</v>
      </c>
    </row>
    <row r="70" spans="1:7" s="5" customFormat="1" ht="12.75" x14ac:dyDescent="0.2">
      <c r="A70" s="68">
        <v>69</v>
      </c>
      <c r="B70" s="69">
        <v>45471.907210648147</v>
      </c>
      <c r="C70" s="68" t="s">
        <v>4</v>
      </c>
      <c r="D70" s="68" t="s">
        <v>5</v>
      </c>
      <c r="E70" s="70" t="s">
        <v>13</v>
      </c>
      <c r="F70" s="68">
        <v>20000</v>
      </c>
      <c r="G70" s="68" t="s">
        <v>6</v>
      </c>
    </row>
    <row r="71" spans="1:7" s="5" customFormat="1" ht="12.75" x14ac:dyDescent="0.2">
      <c r="A71" s="68">
        <v>70</v>
      </c>
      <c r="B71" s="69">
        <v>45472.528946759259</v>
      </c>
      <c r="C71" s="68" t="s">
        <v>251</v>
      </c>
      <c r="D71" s="68" t="s">
        <v>239</v>
      </c>
      <c r="E71" s="70"/>
      <c r="F71" s="68">
        <v>223000</v>
      </c>
      <c r="G71" s="68" t="s">
        <v>560</v>
      </c>
    </row>
    <row r="72" spans="1:7" s="5" customFormat="1" ht="12.75" x14ac:dyDescent="0.2">
      <c r="A72" s="68">
        <v>71</v>
      </c>
      <c r="B72" s="69">
        <v>45472.559270833342</v>
      </c>
      <c r="C72" s="68" t="s">
        <v>561</v>
      </c>
      <c r="D72" s="68" t="s">
        <v>238</v>
      </c>
      <c r="E72" s="70"/>
      <c r="F72" s="68">
        <v>15000</v>
      </c>
      <c r="G72" s="68" t="s">
        <v>6</v>
      </c>
    </row>
    <row r="73" spans="1:7" s="5" customFormat="1" ht="12.75" x14ac:dyDescent="0.2">
      <c r="A73" s="68">
        <v>72</v>
      </c>
      <c r="B73" s="69">
        <v>45472.811608796299</v>
      </c>
      <c r="C73" s="68" t="s">
        <v>561</v>
      </c>
      <c r="D73" s="68" t="s">
        <v>238</v>
      </c>
      <c r="E73" s="70"/>
      <c r="F73" s="68">
        <v>10000</v>
      </c>
      <c r="G73" s="68" t="s">
        <v>6</v>
      </c>
    </row>
    <row r="74" spans="1:7" s="5" customFormat="1" ht="12.75" x14ac:dyDescent="0.2">
      <c r="A74" s="68">
        <v>73</v>
      </c>
      <c r="B74" s="69">
        <v>45473.430381944447</v>
      </c>
      <c r="C74" s="68" t="s">
        <v>4</v>
      </c>
      <c r="D74" s="68" t="s">
        <v>5</v>
      </c>
      <c r="E74" s="70" t="s">
        <v>13</v>
      </c>
      <c r="F74" s="68">
        <v>15000</v>
      </c>
      <c r="G74" s="68" t="s">
        <v>6</v>
      </c>
    </row>
    <row r="75" spans="1:7" s="5" customFormat="1" ht="12.75" x14ac:dyDescent="0.2">
      <c r="A75" s="68">
        <v>74</v>
      </c>
      <c r="B75" s="69">
        <v>45473.489606481482</v>
      </c>
      <c r="C75" s="68" t="s">
        <v>9</v>
      </c>
      <c r="D75" s="68" t="s">
        <v>10</v>
      </c>
      <c r="E75" s="70" t="s">
        <v>11</v>
      </c>
      <c r="F75" s="68">
        <v>20000</v>
      </c>
      <c r="G75" s="68" t="s">
        <v>6</v>
      </c>
    </row>
    <row r="76" spans="1:7" s="5" customFormat="1" ht="12.75" x14ac:dyDescent="0.2">
      <c r="A76" s="68">
        <v>75</v>
      </c>
      <c r="B76" s="69">
        <v>45473.489756944437</v>
      </c>
      <c r="C76" s="68" t="s">
        <v>561</v>
      </c>
      <c r="D76" s="68" t="s">
        <v>238</v>
      </c>
      <c r="E76" s="70"/>
      <c r="F76" s="68">
        <v>10000</v>
      </c>
      <c r="G76" s="68" t="s">
        <v>6</v>
      </c>
    </row>
    <row r="77" spans="1:7" s="5" customFormat="1" ht="12.75" x14ac:dyDescent="0.2">
      <c r="A77" s="68">
        <v>76</v>
      </c>
      <c r="B77" s="69">
        <v>45473.537766203714</v>
      </c>
      <c r="C77" s="68" t="s">
        <v>4</v>
      </c>
      <c r="D77" s="68" t="s">
        <v>5</v>
      </c>
      <c r="E77" s="70" t="s">
        <v>12</v>
      </c>
      <c r="F77" s="68">
        <v>3000</v>
      </c>
      <c r="G77" s="68" t="s">
        <v>6</v>
      </c>
    </row>
  </sheetData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0"/>
  <sheetViews>
    <sheetView topLeftCell="A16" workbookViewId="0">
      <selection sqref="A1:XFD1048576"/>
    </sheetView>
  </sheetViews>
  <sheetFormatPr defaultRowHeight="15" x14ac:dyDescent="0.25"/>
  <cols>
    <col min="1" max="1" width="11.5703125" customWidth="1"/>
    <col min="2" max="2" width="75.140625" customWidth="1"/>
    <col min="3" max="3" width="26.42578125" bestFit="1" customWidth="1"/>
    <col min="4" max="4" width="17.5703125" customWidth="1"/>
    <col min="5" max="5" width="15" bestFit="1" customWidth="1"/>
    <col min="6" max="6" width="11.85546875" customWidth="1"/>
  </cols>
  <sheetData>
    <row r="1" spans="1:9" ht="27" customHeight="1" x14ac:dyDescent="0.25">
      <c r="A1" s="32" t="s">
        <v>265</v>
      </c>
      <c r="B1" s="33"/>
      <c r="C1" s="33"/>
      <c r="D1" s="34"/>
      <c r="E1" s="34"/>
      <c r="F1" s="34"/>
      <c r="G1" s="35"/>
      <c r="H1" s="36"/>
      <c r="I1" s="36"/>
    </row>
    <row r="2" spans="1:9" ht="26.25" customHeight="1" thickBot="1" x14ac:dyDescent="0.3">
      <c r="A2" s="37" t="s">
        <v>266</v>
      </c>
      <c r="B2" s="38"/>
      <c r="C2" s="38"/>
      <c r="D2" s="39"/>
      <c r="E2" s="40"/>
      <c r="F2" s="41"/>
      <c r="G2" s="42"/>
      <c r="H2" s="43"/>
      <c r="I2" s="43"/>
    </row>
    <row r="3" spans="1:9" ht="13.5" customHeight="1" x14ac:dyDescent="0.25">
      <c r="A3" s="44" t="s">
        <v>32</v>
      </c>
      <c r="B3" s="45"/>
      <c r="C3" s="45"/>
      <c r="D3" s="46"/>
      <c r="E3" s="47"/>
      <c r="F3" s="46"/>
      <c r="G3" s="48"/>
      <c r="H3" s="49"/>
      <c r="I3" s="49"/>
    </row>
    <row r="4" spans="1:9" ht="21" customHeight="1" x14ac:dyDescent="0.25">
      <c r="A4" s="50" t="s">
        <v>35</v>
      </c>
      <c r="B4" s="51" t="s">
        <v>40</v>
      </c>
      <c r="C4" s="51"/>
      <c r="D4" s="52"/>
      <c r="E4" s="53"/>
      <c r="F4" s="54"/>
      <c r="G4" s="55"/>
      <c r="H4" s="56"/>
      <c r="I4" s="56"/>
    </row>
    <row r="5" spans="1:9" ht="21" customHeight="1" x14ac:dyDescent="0.25">
      <c r="A5" s="50" t="s">
        <v>41</v>
      </c>
      <c r="B5" s="51" t="s">
        <v>42</v>
      </c>
      <c r="C5" s="51"/>
      <c r="D5" s="52"/>
      <c r="E5" s="53"/>
      <c r="F5" s="54"/>
      <c r="G5" s="55"/>
      <c r="H5" s="56"/>
      <c r="I5" s="56"/>
    </row>
    <row r="6" spans="1:9" ht="21" customHeight="1" x14ac:dyDescent="0.25">
      <c r="A6" s="50" t="s">
        <v>43</v>
      </c>
      <c r="B6" s="51" t="s">
        <v>44</v>
      </c>
      <c r="C6" s="51"/>
      <c r="D6" s="52"/>
      <c r="E6" s="53"/>
      <c r="F6" s="54"/>
      <c r="G6" s="55"/>
      <c r="H6" s="56"/>
      <c r="I6" s="56"/>
    </row>
    <row r="7" spans="1:9" ht="21" customHeight="1" x14ac:dyDescent="0.25">
      <c r="A7" s="50" t="s">
        <v>36</v>
      </c>
      <c r="B7" s="51" t="s">
        <v>45</v>
      </c>
      <c r="C7" s="51"/>
      <c r="D7" s="52"/>
      <c r="E7" s="53"/>
      <c r="F7" s="54"/>
      <c r="G7" s="55"/>
      <c r="H7" s="56"/>
      <c r="I7" s="56"/>
    </row>
    <row r="8" spans="1:9" ht="21" customHeight="1" x14ac:dyDescent="0.25">
      <c r="A8" s="50" t="s">
        <v>46</v>
      </c>
      <c r="B8" s="51" t="s">
        <v>47</v>
      </c>
      <c r="C8" s="51"/>
      <c r="D8" s="52"/>
      <c r="E8" s="53"/>
      <c r="F8" s="57"/>
      <c r="G8" s="55"/>
      <c r="H8" s="56"/>
      <c r="I8" s="56"/>
    </row>
    <row r="9" spans="1:9" ht="21" customHeight="1" x14ac:dyDescent="0.25">
      <c r="A9" s="50" t="s">
        <v>267</v>
      </c>
      <c r="B9" s="51" t="s">
        <v>48</v>
      </c>
      <c r="C9" s="51"/>
      <c r="D9" s="52"/>
      <c r="E9" s="53"/>
      <c r="F9" s="54"/>
      <c r="G9" s="55"/>
      <c r="H9" s="56"/>
      <c r="I9" s="56"/>
    </row>
    <row r="10" spans="1:9" ht="21" customHeight="1" x14ac:dyDescent="0.25">
      <c r="A10" s="50" t="s">
        <v>38</v>
      </c>
      <c r="B10" s="51" t="s">
        <v>49</v>
      </c>
      <c r="C10" s="51"/>
      <c r="D10" s="52"/>
      <c r="E10" s="53"/>
      <c r="F10" s="54"/>
      <c r="G10" s="55"/>
      <c r="H10" s="56"/>
      <c r="I10" s="56"/>
    </row>
    <row r="11" spans="1:9" ht="21" customHeight="1" x14ac:dyDescent="0.25">
      <c r="A11" s="50" t="s">
        <v>220</v>
      </c>
      <c r="B11" s="51" t="s">
        <v>50</v>
      </c>
      <c r="C11" s="51"/>
      <c r="D11" s="52"/>
      <c r="E11" s="53"/>
      <c r="F11" s="54"/>
      <c r="G11" s="55"/>
      <c r="H11" s="56"/>
      <c r="I11" s="56"/>
    </row>
    <row r="12" spans="1:9" ht="21" customHeight="1" x14ac:dyDescent="0.25">
      <c r="A12" s="50" t="s">
        <v>37</v>
      </c>
      <c r="B12" s="51" t="s">
        <v>51</v>
      </c>
      <c r="C12" s="51"/>
      <c r="D12" s="52"/>
      <c r="E12" s="53"/>
      <c r="F12" s="54"/>
      <c r="G12" s="55"/>
      <c r="H12" s="56"/>
      <c r="I12" s="56"/>
    </row>
    <row r="13" spans="1:9" ht="18.75" customHeight="1" x14ac:dyDescent="0.25">
      <c r="A13" s="50" t="s">
        <v>52</v>
      </c>
      <c r="B13" s="51" t="s">
        <v>53</v>
      </c>
      <c r="C13" s="51"/>
      <c r="D13" s="52"/>
      <c r="E13" s="53"/>
      <c r="F13" s="54"/>
      <c r="G13" s="55"/>
      <c r="H13" s="56"/>
      <c r="I13" s="56"/>
    </row>
    <row r="14" spans="1:9" ht="18" customHeight="1" x14ac:dyDescent="0.25">
      <c r="A14" s="50" t="s">
        <v>54</v>
      </c>
      <c r="B14" s="51" t="s">
        <v>55</v>
      </c>
      <c r="C14" s="51"/>
      <c r="D14" s="52"/>
      <c r="E14" s="53"/>
      <c r="F14" s="54"/>
      <c r="G14" s="55"/>
      <c r="H14" s="56"/>
      <c r="I14" s="56"/>
    </row>
    <row r="15" spans="1:9" ht="24" customHeight="1" x14ac:dyDescent="0.25">
      <c r="A15" s="50" t="s">
        <v>56</v>
      </c>
      <c r="B15" s="51" t="s">
        <v>57</v>
      </c>
      <c r="C15" s="51"/>
      <c r="D15" s="52"/>
      <c r="E15" s="53"/>
      <c r="F15" s="54"/>
      <c r="G15" s="55"/>
      <c r="H15" s="56"/>
      <c r="I15" s="56"/>
    </row>
    <row r="16" spans="1:9" ht="15.75" customHeight="1" x14ac:dyDescent="0.25">
      <c r="A16" s="22" t="s">
        <v>31</v>
      </c>
      <c r="B16" s="23" t="s">
        <v>254</v>
      </c>
      <c r="C16" s="23" t="s">
        <v>255</v>
      </c>
      <c r="D16" s="22" t="s">
        <v>256</v>
      </c>
      <c r="E16" s="24" t="s">
        <v>257</v>
      </c>
      <c r="F16" s="25" t="s">
        <v>258</v>
      </c>
      <c r="G16" s="26" t="s">
        <v>259</v>
      </c>
      <c r="H16" s="27" t="s">
        <v>260</v>
      </c>
      <c r="I16" s="27" t="s">
        <v>237</v>
      </c>
    </row>
    <row r="17" spans="1:10" ht="15.75" customHeight="1" x14ac:dyDescent="0.25">
      <c r="A17" s="28" t="s">
        <v>268</v>
      </c>
      <c r="B17" s="29" t="s">
        <v>269</v>
      </c>
      <c r="C17" s="29" t="s">
        <v>230</v>
      </c>
      <c r="D17" s="29" t="s">
        <v>81</v>
      </c>
      <c r="E17" s="29" t="s">
        <v>368</v>
      </c>
      <c r="F17" s="29" t="s">
        <v>369</v>
      </c>
      <c r="G17" s="30" t="s">
        <v>220</v>
      </c>
      <c r="H17" s="31">
        <v>562</v>
      </c>
      <c r="I17" s="31"/>
      <c r="J17" t="s">
        <v>270</v>
      </c>
    </row>
    <row r="18" spans="1:10" ht="15.75" customHeight="1" x14ac:dyDescent="0.25">
      <c r="A18" s="28" t="s">
        <v>268</v>
      </c>
      <c r="B18" s="29" t="s">
        <v>271</v>
      </c>
      <c r="C18" s="29" t="s">
        <v>59</v>
      </c>
      <c r="D18" s="29" t="s">
        <v>370</v>
      </c>
      <c r="E18" s="29" t="s">
        <v>371</v>
      </c>
      <c r="F18" s="29" t="s">
        <v>43</v>
      </c>
      <c r="G18" s="30" t="s">
        <v>43</v>
      </c>
      <c r="H18" s="31">
        <v>185</v>
      </c>
      <c r="I18" s="31"/>
      <c r="J18" t="s">
        <v>270</v>
      </c>
    </row>
    <row r="19" spans="1:10" ht="15.75" customHeight="1" x14ac:dyDescent="0.25">
      <c r="A19" s="28" t="s">
        <v>268</v>
      </c>
      <c r="B19" s="29" t="s">
        <v>272</v>
      </c>
      <c r="C19" s="29" t="s">
        <v>59</v>
      </c>
      <c r="D19" s="29" t="s">
        <v>372</v>
      </c>
      <c r="E19" s="29" t="s">
        <v>373</v>
      </c>
      <c r="F19" s="29" t="s">
        <v>43</v>
      </c>
      <c r="G19" s="30" t="s">
        <v>43</v>
      </c>
      <c r="H19" s="31">
        <v>8</v>
      </c>
      <c r="I19" s="31"/>
      <c r="J19" t="s">
        <v>270</v>
      </c>
    </row>
    <row r="20" spans="1:10" ht="15.75" customHeight="1" x14ac:dyDescent="0.25">
      <c r="A20" s="28" t="s">
        <v>268</v>
      </c>
      <c r="B20" s="29" t="s">
        <v>273</v>
      </c>
      <c r="C20" s="29" t="s">
        <v>59</v>
      </c>
      <c r="D20" s="29" t="s">
        <v>372</v>
      </c>
      <c r="E20" s="29" t="s">
        <v>371</v>
      </c>
      <c r="F20" s="29" t="s">
        <v>43</v>
      </c>
      <c r="G20" s="30" t="s">
        <v>43</v>
      </c>
      <c r="H20" s="31">
        <v>40</v>
      </c>
      <c r="I20" s="31"/>
      <c r="J20" t="s">
        <v>270</v>
      </c>
    </row>
    <row r="21" spans="1:10" ht="15.75" customHeight="1" x14ac:dyDescent="0.25">
      <c r="A21" s="28" t="s">
        <v>268</v>
      </c>
      <c r="B21" s="29" t="s">
        <v>274</v>
      </c>
      <c r="C21" s="29" t="s">
        <v>230</v>
      </c>
      <c r="D21" s="29" t="s">
        <v>79</v>
      </c>
      <c r="E21" s="29" t="s">
        <v>377</v>
      </c>
      <c r="F21" s="29" t="s">
        <v>262</v>
      </c>
      <c r="G21" s="30" t="s">
        <v>220</v>
      </c>
      <c r="H21" s="31">
        <v>4000</v>
      </c>
      <c r="I21" s="31"/>
      <c r="J21" t="s">
        <v>270</v>
      </c>
    </row>
    <row r="22" spans="1:10" ht="15.75" customHeight="1" x14ac:dyDescent="0.25">
      <c r="A22" s="28" t="s">
        <v>268</v>
      </c>
      <c r="B22" s="29" t="s">
        <v>275</v>
      </c>
      <c r="C22" s="29" t="s">
        <v>59</v>
      </c>
      <c r="D22" s="29" t="s">
        <v>378</v>
      </c>
      <c r="E22" s="29" t="s">
        <v>214</v>
      </c>
      <c r="F22" s="29" t="s">
        <v>369</v>
      </c>
      <c r="G22" s="30" t="s">
        <v>43</v>
      </c>
      <c r="H22" s="31">
        <v>400</v>
      </c>
      <c r="I22" s="31"/>
      <c r="J22" t="s">
        <v>270</v>
      </c>
    </row>
    <row r="23" spans="1:10" ht="15.75" customHeight="1" x14ac:dyDescent="0.25">
      <c r="A23" s="28" t="s">
        <v>268</v>
      </c>
      <c r="B23" s="29" t="s">
        <v>276</v>
      </c>
      <c r="C23" s="29" t="s">
        <v>379</v>
      </c>
      <c r="D23" s="29" t="s">
        <v>380</v>
      </c>
      <c r="E23" s="29" t="s">
        <v>381</v>
      </c>
      <c r="F23" s="29" t="s">
        <v>64</v>
      </c>
      <c r="G23" s="30" t="s">
        <v>38</v>
      </c>
      <c r="H23" s="31">
        <v>1000</v>
      </c>
      <c r="I23" s="31"/>
      <c r="J23" t="s">
        <v>270</v>
      </c>
    </row>
    <row r="24" spans="1:10" ht="15.75" customHeight="1" x14ac:dyDescent="0.25">
      <c r="A24" s="28" t="s">
        <v>268</v>
      </c>
      <c r="B24" s="29" t="s">
        <v>277</v>
      </c>
      <c r="C24" s="29" t="s">
        <v>264</v>
      </c>
      <c r="D24" s="29" t="s">
        <v>54</v>
      </c>
      <c r="E24" s="29" t="s">
        <v>67</v>
      </c>
      <c r="F24" s="29" t="s">
        <v>54</v>
      </c>
      <c r="G24" s="30" t="s">
        <v>54</v>
      </c>
      <c r="H24" s="31">
        <v>80000</v>
      </c>
      <c r="I24" s="31"/>
      <c r="J24" t="s">
        <v>278</v>
      </c>
    </row>
    <row r="25" spans="1:10" ht="15.75" customHeight="1" x14ac:dyDescent="0.25">
      <c r="A25" s="28" t="s">
        <v>268</v>
      </c>
      <c r="B25" s="29" t="s">
        <v>279</v>
      </c>
      <c r="C25" s="29" t="s">
        <v>230</v>
      </c>
      <c r="D25" s="29" t="s">
        <v>79</v>
      </c>
      <c r="E25" s="29" t="s">
        <v>382</v>
      </c>
      <c r="F25" s="29" t="s">
        <v>383</v>
      </c>
      <c r="G25" s="30" t="s">
        <v>220</v>
      </c>
      <c r="H25" s="31">
        <v>20000</v>
      </c>
      <c r="I25" s="31"/>
      <c r="J25" t="s">
        <v>270</v>
      </c>
    </row>
    <row r="26" spans="1:10" ht="15.75" customHeight="1" x14ac:dyDescent="0.25">
      <c r="A26" s="28" t="s">
        <v>268</v>
      </c>
      <c r="B26" s="29" t="s">
        <v>280</v>
      </c>
      <c r="C26" s="29" t="s">
        <v>384</v>
      </c>
      <c r="D26" s="29" t="s">
        <v>385</v>
      </c>
      <c r="E26" s="29" t="s">
        <v>374</v>
      </c>
      <c r="F26" s="29" t="s">
        <v>386</v>
      </c>
      <c r="G26" s="30" t="s">
        <v>35</v>
      </c>
      <c r="H26" s="31">
        <v>4000</v>
      </c>
      <c r="I26" s="31"/>
      <c r="J26" t="s">
        <v>270</v>
      </c>
    </row>
    <row r="27" spans="1:10" ht="15.75" customHeight="1" x14ac:dyDescent="0.25">
      <c r="A27" s="28" t="s">
        <v>268</v>
      </c>
      <c r="B27" s="29" t="s">
        <v>281</v>
      </c>
      <c r="C27" s="29" t="s">
        <v>230</v>
      </c>
      <c r="D27" s="29" t="s">
        <v>81</v>
      </c>
      <c r="E27" s="29" t="s">
        <v>103</v>
      </c>
      <c r="F27" s="29" t="s">
        <v>387</v>
      </c>
      <c r="G27" s="30" t="s">
        <v>220</v>
      </c>
      <c r="H27" s="31">
        <v>2750</v>
      </c>
      <c r="I27" s="31"/>
      <c r="J27" t="s">
        <v>270</v>
      </c>
    </row>
    <row r="28" spans="1:10" ht="15.75" customHeight="1" x14ac:dyDescent="0.25">
      <c r="A28" s="28" t="s">
        <v>268</v>
      </c>
      <c r="B28" s="29" t="s">
        <v>282</v>
      </c>
      <c r="C28" s="29" t="s">
        <v>230</v>
      </c>
      <c r="D28" s="29" t="s">
        <v>81</v>
      </c>
      <c r="E28" s="29" t="s">
        <v>375</v>
      </c>
      <c r="F28" s="29" t="s">
        <v>388</v>
      </c>
      <c r="G28" s="30" t="s">
        <v>220</v>
      </c>
      <c r="H28" s="31">
        <v>5000</v>
      </c>
      <c r="I28" s="31"/>
      <c r="J28" t="s">
        <v>270</v>
      </c>
    </row>
    <row r="29" spans="1:10" ht="15.75" customHeight="1" x14ac:dyDescent="0.25">
      <c r="A29" s="28" t="s">
        <v>268</v>
      </c>
      <c r="B29" s="29" t="s">
        <v>283</v>
      </c>
      <c r="C29" s="29" t="s">
        <v>384</v>
      </c>
      <c r="D29" s="29" t="s">
        <v>389</v>
      </c>
      <c r="E29" s="29" t="s">
        <v>374</v>
      </c>
      <c r="F29" s="29" t="s">
        <v>390</v>
      </c>
      <c r="G29" s="30" t="s">
        <v>35</v>
      </c>
      <c r="H29" s="31">
        <v>6757</v>
      </c>
      <c r="I29" s="31"/>
      <c r="J29" t="s">
        <v>270</v>
      </c>
    </row>
    <row r="30" spans="1:10" ht="15.75" customHeight="1" x14ac:dyDescent="0.25">
      <c r="A30" s="28" t="s">
        <v>268</v>
      </c>
      <c r="B30" s="29" t="s">
        <v>284</v>
      </c>
      <c r="C30" s="29" t="s">
        <v>384</v>
      </c>
      <c r="D30" s="29" t="s">
        <v>389</v>
      </c>
      <c r="E30" s="29" t="s">
        <v>374</v>
      </c>
      <c r="F30" s="29" t="s">
        <v>390</v>
      </c>
      <c r="G30" s="30" t="s">
        <v>35</v>
      </c>
      <c r="H30" s="31">
        <v>350</v>
      </c>
      <c r="I30" s="31"/>
      <c r="J30" t="s">
        <v>270</v>
      </c>
    </row>
    <row r="31" spans="1:10" ht="15.75" customHeight="1" x14ac:dyDescent="0.25">
      <c r="A31" s="28" t="s">
        <v>268</v>
      </c>
      <c r="B31" s="29" t="s">
        <v>285</v>
      </c>
      <c r="C31" s="29" t="s">
        <v>230</v>
      </c>
      <c r="D31" s="29" t="s">
        <v>79</v>
      </c>
      <c r="E31" s="29" t="s">
        <v>376</v>
      </c>
      <c r="F31" s="29" t="s">
        <v>388</v>
      </c>
      <c r="G31" s="30" t="s">
        <v>220</v>
      </c>
      <c r="H31" s="31">
        <v>25000</v>
      </c>
      <c r="I31" s="31"/>
      <c r="J31" t="s">
        <v>270</v>
      </c>
    </row>
    <row r="32" spans="1:10" ht="15.75" customHeight="1" x14ac:dyDescent="0.25">
      <c r="A32" s="28" t="s">
        <v>286</v>
      </c>
      <c r="B32" s="29" t="s">
        <v>287</v>
      </c>
      <c r="C32" s="29" t="s">
        <v>230</v>
      </c>
      <c r="D32" s="29" t="s">
        <v>81</v>
      </c>
      <c r="E32" s="29" t="s">
        <v>508</v>
      </c>
      <c r="F32" s="29" t="s">
        <v>369</v>
      </c>
      <c r="G32" s="30" t="s">
        <v>220</v>
      </c>
      <c r="H32" s="31">
        <v>2200</v>
      </c>
      <c r="I32" s="31"/>
      <c r="J32" t="s">
        <v>270</v>
      </c>
    </row>
    <row r="33" spans="1:10" ht="15.75" customHeight="1" x14ac:dyDescent="0.25">
      <c r="A33" s="28" t="s">
        <v>286</v>
      </c>
      <c r="B33" s="29" t="s">
        <v>288</v>
      </c>
      <c r="C33" s="29" t="s">
        <v>379</v>
      </c>
      <c r="D33" s="29" t="s">
        <v>391</v>
      </c>
      <c r="E33" s="29" t="s">
        <v>392</v>
      </c>
      <c r="F33" s="29" t="s">
        <v>64</v>
      </c>
      <c r="G33" s="30" t="s">
        <v>38</v>
      </c>
      <c r="H33" s="31">
        <v>108.9</v>
      </c>
      <c r="I33" s="31"/>
      <c r="J33" t="s">
        <v>270</v>
      </c>
    </row>
    <row r="34" spans="1:10" ht="15.75" customHeight="1" x14ac:dyDescent="0.25">
      <c r="A34" s="28" t="s">
        <v>286</v>
      </c>
      <c r="B34" s="29" t="s">
        <v>289</v>
      </c>
      <c r="C34" s="29" t="s">
        <v>230</v>
      </c>
      <c r="D34" s="29" t="s">
        <v>79</v>
      </c>
      <c r="E34" s="29" t="s">
        <v>219</v>
      </c>
      <c r="F34" s="29" t="s">
        <v>84</v>
      </c>
      <c r="G34" s="30" t="s">
        <v>220</v>
      </c>
      <c r="H34" s="31">
        <v>20000</v>
      </c>
      <c r="I34" s="31"/>
      <c r="J34" t="s">
        <v>270</v>
      </c>
    </row>
    <row r="35" spans="1:10" ht="15.75" customHeight="1" x14ac:dyDescent="0.25">
      <c r="A35" s="28" t="s">
        <v>286</v>
      </c>
      <c r="B35" s="29" t="s">
        <v>290</v>
      </c>
      <c r="C35" s="29" t="s">
        <v>230</v>
      </c>
      <c r="D35" s="29" t="s">
        <v>89</v>
      </c>
      <c r="E35" s="29" t="s">
        <v>393</v>
      </c>
      <c r="F35" s="29" t="s">
        <v>262</v>
      </c>
      <c r="G35" s="30" t="s">
        <v>220</v>
      </c>
      <c r="H35" s="31">
        <v>4000</v>
      </c>
      <c r="I35" s="31"/>
      <c r="J35" t="s">
        <v>270</v>
      </c>
    </row>
    <row r="36" spans="1:10" ht="15.75" customHeight="1" x14ac:dyDescent="0.25">
      <c r="A36" s="28" t="s">
        <v>286</v>
      </c>
      <c r="B36" s="29" t="s">
        <v>291</v>
      </c>
      <c r="C36" s="29" t="s">
        <v>264</v>
      </c>
      <c r="D36" s="29" t="s">
        <v>54</v>
      </c>
      <c r="E36" s="29" t="s">
        <v>67</v>
      </c>
      <c r="F36" s="29" t="s">
        <v>54</v>
      </c>
      <c r="G36" s="30" t="s">
        <v>54</v>
      </c>
      <c r="H36" s="31">
        <v>10000</v>
      </c>
      <c r="I36" s="31"/>
      <c r="J36" t="s">
        <v>278</v>
      </c>
    </row>
    <row r="37" spans="1:10" ht="15.75" customHeight="1" x14ac:dyDescent="0.25">
      <c r="A37" s="28" t="s">
        <v>292</v>
      </c>
      <c r="B37" s="29" t="s">
        <v>293</v>
      </c>
      <c r="C37" s="29" t="s">
        <v>379</v>
      </c>
      <c r="D37" s="29" t="s">
        <v>204</v>
      </c>
      <c r="E37" s="29" t="s">
        <v>65</v>
      </c>
      <c r="F37" s="29" t="s">
        <v>261</v>
      </c>
      <c r="G37" s="30" t="s">
        <v>38</v>
      </c>
      <c r="H37" s="31">
        <v>470.81</v>
      </c>
      <c r="I37" s="31"/>
      <c r="J37" t="s">
        <v>270</v>
      </c>
    </row>
    <row r="38" spans="1:10" ht="15.75" customHeight="1" x14ac:dyDescent="0.25">
      <c r="A38" s="28" t="s">
        <v>292</v>
      </c>
      <c r="B38" s="29" t="s">
        <v>294</v>
      </c>
      <c r="C38" s="29" t="s">
        <v>384</v>
      </c>
      <c r="D38" s="29" t="s">
        <v>394</v>
      </c>
      <c r="E38" s="29" t="s">
        <v>395</v>
      </c>
      <c r="F38" s="29" t="s">
        <v>261</v>
      </c>
      <c r="G38" s="30" t="s">
        <v>35</v>
      </c>
      <c r="H38" s="31">
        <v>980</v>
      </c>
      <c r="I38" s="31"/>
      <c r="J38" t="s">
        <v>270</v>
      </c>
    </row>
    <row r="39" spans="1:10" ht="15.75" customHeight="1" x14ac:dyDescent="0.25">
      <c r="A39" s="28" t="s">
        <v>292</v>
      </c>
      <c r="B39" s="29" t="s">
        <v>295</v>
      </c>
      <c r="C39" s="29" t="s">
        <v>384</v>
      </c>
      <c r="D39" s="29" t="s">
        <v>396</v>
      </c>
      <c r="E39" s="29" t="s">
        <v>395</v>
      </c>
      <c r="F39" s="29" t="s">
        <v>261</v>
      </c>
      <c r="G39" s="30" t="s">
        <v>35</v>
      </c>
      <c r="H39" s="31">
        <v>465</v>
      </c>
      <c r="I39" s="31"/>
      <c r="J39" t="s">
        <v>270</v>
      </c>
    </row>
    <row r="40" spans="1:10" ht="15.75" customHeight="1" x14ac:dyDescent="0.25">
      <c r="A40" s="28" t="s">
        <v>292</v>
      </c>
      <c r="B40" s="29" t="s">
        <v>296</v>
      </c>
      <c r="C40" s="29" t="s">
        <v>230</v>
      </c>
      <c r="D40" s="29" t="s">
        <v>79</v>
      </c>
      <c r="E40" s="29" t="s">
        <v>377</v>
      </c>
      <c r="F40" s="29" t="s">
        <v>262</v>
      </c>
      <c r="G40" s="30" t="s">
        <v>220</v>
      </c>
      <c r="H40" s="31">
        <v>3800</v>
      </c>
      <c r="I40" s="31"/>
      <c r="J40" t="s">
        <v>270</v>
      </c>
    </row>
    <row r="41" spans="1:10" ht="15.75" customHeight="1" x14ac:dyDescent="0.25">
      <c r="A41" s="28" t="s">
        <v>292</v>
      </c>
      <c r="B41" s="29" t="s">
        <v>297</v>
      </c>
      <c r="C41" s="29" t="s">
        <v>59</v>
      </c>
      <c r="D41" s="29" t="s">
        <v>378</v>
      </c>
      <c r="E41" s="29" t="s">
        <v>397</v>
      </c>
      <c r="F41" s="29" t="s">
        <v>262</v>
      </c>
      <c r="G41" s="30" t="s">
        <v>43</v>
      </c>
      <c r="H41" s="31">
        <v>375</v>
      </c>
      <c r="I41" s="31"/>
      <c r="J41" t="s">
        <v>270</v>
      </c>
    </row>
    <row r="42" spans="1:10" ht="15.75" customHeight="1" x14ac:dyDescent="0.25">
      <c r="A42" s="28" t="s">
        <v>292</v>
      </c>
      <c r="B42" s="29" t="s">
        <v>298</v>
      </c>
      <c r="C42" s="29" t="s">
        <v>264</v>
      </c>
      <c r="D42" s="29" t="s">
        <v>54</v>
      </c>
      <c r="E42" s="29" t="s">
        <v>54</v>
      </c>
      <c r="F42" s="29" t="s">
        <v>54</v>
      </c>
      <c r="G42" s="30" t="s">
        <v>54</v>
      </c>
      <c r="H42" s="31">
        <v>10000</v>
      </c>
      <c r="I42" s="31"/>
      <c r="J42" t="s">
        <v>278</v>
      </c>
    </row>
    <row r="43" spans="1:10" ht="15.75" customHeight="1" x14ac:dyDescent="0.25">
      <c r="A43" s="28" t="s">
        <v>292</v>
      </c>
      <c r="B43" s="29" t="s">
        <v>299</v>
      </c>
      <c r="C43" s="29" t="s">
        <v>384</v>
      </c>
      <c r="D43" s="29" t="s">
        <v>437</v>
      </c>
      <c r="E43" s="29" t="s">
        <v>402</v>
      </c>
      <c r="F43" s="29" t="s">
        <v>390</v>
      </c>
      <c r="G43" s="30" t="s">
        <v>35</v>
      </c>
      <c r="H43" s="31">
        <v>8380</v>
      </c>
      <c r="I43" s="31"/>
      <c r="J43" t="s">
        <v>270</v>
      </c>
    </row>
    <row r="44" spans="1:10" ht="15.75" customHeight="1" x14ac:dyDescent="0.25">
      <c r="A44" s="28" t="s">
        <v>292</v>
      </c>
      <c r="B44" s="29" t="s">
        <v>300</v>
      </c>
      <c r="C44" s="29" t="s">
        <v>230</v>
      </c>
      <c r="D44" s="29" t="s">
        <v>79</v>
      </c>
      <c r="E44" s="29" t="s">
        <v>12</v>
      </c>
      <c r="F44" s="29" t="s">
        <v>262</v>
      </c>
      <c r="G44" s="30" t="s">
        <v>220</v>
      </c>
      <c r="H44" s="31">
        <v>2000</v>
      </c>
      <c r="I44" s="31"/>
      <c r="J44" t="s">
        <v>270</v>
      </c>
    </row>
    <row r="45" spans="1:10" ht="15.75" customHeight="1" x14ac:dyDescent="0.25">
      <c r="A45" s="28" t="s">
        <v>292</v>
      </c>
      <c r="B45" s="29" t="s">
        <v>301</v>
      </c>
      <c r="C45" s="29" t="s">
        <v>104</v>
      </c>
      <c r="D45" s="29" t="s">
        <v>398</v>
      </c>
      <c r="E45" s="29" t="s">
        <v>399</v>
      </c>
      <c r="F45" s="29" t="s">
        <v>261</v>
      </c>
      <c r="G45" s="30" t="s">
        <v>36</v>
      </c>
      <c r="H45" s="31">
        <v>4000</v>
      </c>
      <c r="I45" s="31"/>
      <c r="J45" t="s">
        <v>270</v>
      </c>
    </row>
    <row r="46" spans="1:10" ht="15.75" customHeight="1" x14ac:dyDescent="0.25">
      <c r="A46" s="28" t="s">
        <v>302</v>
      </c>
      <c r="B46" s="29" t="s">
        <v>303</v>
      </c>
      <c r="C46" s="29" t="s">
        <v>264</v>
      </c>
      <c r="D46" s="29" t="s">
        <v>54</v>
      </c>
      <c r="E46" s="29" t="s">
        <v>54</v>
      </c>
      <c r="F46" s="29" t="s">
        <v>54</v>
      </c>
      <c r="G46" s="30" t="s">
        <v>54</v>
      </c>
      <c r="H46" s="31">
        <v>10000</v>
      </c>
      <c r="I46" s="31"/>
      <c r="J46" t="s">
        <v>278</v>
      </c>
    </row>
    <row r="47" spans="1:10" ht="15.75" customHeight="1" x14ac:dyDescent="0.25">
      <c r="A47" s="28" t="s">
        <v>302</v>
      </c>
      <c r="B47" s="29" t="s">
        <v>304</v>
      </c>
      <c r="C47" s="29" t="s">
        <v>59</v>
      </c>
      <c r="D47" s="29" t="s">
        <v>385</v>
      </c>
      <c r="E47" s="29" t="s">
        <v>17</v>
      </c>
      <c r="F47" s="29" t="s">
        <v>261</v>
      </c>
      <c r="G47" s="30" t="s">
        <v>43</v>
      </c>
      <c r="H47" s="31">
        <v>3000</v>
      </c>
      <c r="I47" s="31"/>
      <c r="J47" t="s">
        <v>270</v>
      </c>
    </row>
    <row r="48" spans="1:10" ht="15.75" customHeight="1" x14ac:dyDescent="0.25">
      <c r="A48" s="28" t="s">
        <v>302</v>
      </c>
      <c r="B48" s="29" t="s">
        <v>305</v>
      </c>
      <c r="C48" s="29" t="s">
        <v>59</v>
      </c>
      <c r="D48" s="29" t="s">
        <v>400</v>
      </c>
      <c r="E48" s="29" t="s">
        <v>401</v>
      </c>
      <c r="F48" s="29" t="s">
        <v>388</v>
      </c>
      <c r="G48" s="30" t="s">
        <v>43</v>
      </c>
      <c r="H48" s="31">
        <v>5000</v>
      </c>
      <c r="I48" s="31"/>
      <c r="J48" t="s">
        <v>270</v>
      </c>
    </row>
    <row r="49" spans="1:10" ht="15.75" customHeight="1" x14ac:dyDescent="0.25">
      <c r="A49" s="28" t="s">
        <v>302</v>
      </c>
      <c r="B49" s="29" t="s">
        <v>306</v>
      </c>
      <c r="C49" s="29" t="s">
        <v>230</v>
      </c>
      <c r="D49" s="29" t="s">
        <v>81</v>
      </c>
      <c r="E49" s="29" t="s">
        <v>402</v>
      </c>
      <c r="F49" s="29" t="s">
        <v>390</v>
      </c>
      <c r="G49" s="30" t="s">
        <v>220</v>
      </c>
      <c r="H49" s="31">
        <v>800</v>
      </c>
      <c r="I49" s="31"/>
      <c r="J49" t="s">
        <v>270</v>
      </c>
    </row>
    <row r="50" spans="1:10" ht="15.75" customHeight="1" x14ac:dyDescent="0.25">
      <c r="A50" s="28" t="s">
        <v>302</v>
      </c>
      <c r="B50" s="29" t="s">
        <v>307</v>
      </c>
      <c r="C50" s="29" t="s">
        <v>384</v>
      </c>
      <c r="D50" s="29" t="s">
        <v>403</v>
      </c>
      <c r="E50" s="29" t="s">
        <v>404</v>
      </c>
      <c r="F50" s="29" t="s">
        <v>64</v>
      </c>
      <c r="G50" s="30" t="s">
        <v>38</v>
      </c>
      <c r="H50" s="31">
        <v>1180</v>
      </c>
      <c r="I50" s="31"/>
      <c r="J50" t="s">
        <v>270</v>
      </c>
    </row>
    <row r="51" spans="1:10" ht="15.75" customHeight="1" x14ac:dyDescent="0.25">
      <c r="A51" s="28" t="s">
        <v>302</v>
      </c>
      <c r="B51" s="29" t="s">
        <v>308</v>
      </c>
      <c r="C51" s="29" t="s">
        <v>379</v>
      </c>
      <c r="D51" s="29" t="s">
        <v>263</v>
      </c>
      <c r="E51" s="29" t="s">
        <v>405</v>
      </c>
      <c r="F51" s="29" t="s">
        <v>64</v>
      </c>
      <c r="G51" s="30" t="s">
        <v>38</v>
      </c>
      <c r="H51" s="31">
        <v>67</v>
      </c>
      <c r="I51" s="31"/>
      <c r="J51" t="s">
        <v>270</v>
      </c>
    </row>
    <row r="52" spans="1:10" ht="15.75" customHeight="1" x14ac:dyDescent="0.25">
      <c r="A52" s="28" t="s">
        <v>302</v>
      </c>
      <c r="B52" s="29" t="s">
        <v>309</v>
      </c>
      <c r="C52" s="29" t="s">
        <v>264</v>
      </c>
      <c r="D52" s="29" t="s">
        <v>54</v>
      </c>
      <c r="E52" s="29" t="s">
        <v>54</v>
      </c>
      <c r="F52" s="29" t="s">
        <v>54</v>
      </c>
      <c r="G52" s="30" t="s">
        <v>54</v>
      </c>
      <c r="H52" s="31">
        <v>30000</v>
      </c>
      <c r="I52" s="31"/>
      <c r="J52" t="s">
        <v>278</v>
      </c>
    </row>
    <row r="53" spans="1:10" ht="15.75" customHeight="1" x14ac:dyDescent="0.25">
      <c r="A53" s="28" t="s">
        <v>302</v>
      </c>
      <c r="B53" s="29" t="s">
        <v>310</v>
      </c>
      <c r="C53" s="29" t="s">
        <v>104</v>
      </c>
      <c r="D53" s="29" t="s">
        <v>36</v>
      </c>
      <c r="E53" s="29" t="s">
        <v>399</v>
      </c>
      <c r="F53" s="29" t="s">
        <v>261</v>
      </c>
      <c r="G53" s="30" t="s">
        <v>36</v>
      </c>
      <c r="H53" s="31">
        <v>5000</v>
      </c>
      <c r="I53" s="31"/>
      <c r="J53" t="s">
        <v>270</v>
      </c>
    </row>
    <row r="54" spans="1:10" ht="15.75" customHeight="1" x14ac:dyDescent="0.25">
      <c r="A54" s="28" t="s">
        <v>302</v>
      </c>
      <c r="B54" s="29" t="s">
        <v>311</v>
      </c>
      <c r="C54" s="29" t="s">
        <v>230</v>
      </c>
      <c r="D54" s="29" t="s">
        <v>79</v>
      </c>
      <c r="E54" s="29" t="s">
        <v>377</v>
      </c>
      <c r="F54" s="29" t="s">
        <v>262</v>
      </c>
      <c r="G54" s="30" t="s">
        <v>220</v>
      </c>
      <c r="H54" s="31">
        <v>4200</v>
      </c>
      <c r="I54" s="31"/>
      <c r="J54" t="s">
        <v>270</v>
      </c>
    </row>
    <row r="55" spans="1:10" ht="15.75" customHeight="1" x14ac:dyDescent="0.25">
      <c r="A55" s="28" t="s">
        <v>312</v>
      </c>
      <c r="B55" s="29" t="s">
        <v>313</v>
      </c>
      <c r="C55" s="29" t="s">
        <v>406</v>
      </c>
      <c r="D55" s="29" t="s">
        <v>407</v>
      </c>
      <c r="E55" s="29" t="s">
        <v>408</v>
      </c>
      <c r="F55" s="29" t="s">
        <v>64</v>
      </c>
      <c r="G55" s="30" t="s">
        <v>220</v>
      </c>
      <c r="H55" s="31">
        <v>3400</v>
      </c>
      <c r="I55" s="31"/>
      <c r="J55" t="s">
        <v>270</v>
      </c>
    </row>
    <row r="56" spans="1:10" ht="15.75" customHeight="1" x14ac:dyDescent="0.25">
      <c r="A56" s="28" t="s">
        <v>312</v>
      </c>
      <c r="B56" s="29" t="s">
        <v>314</v>
      </c>
      <c r="C56" s="29" t="s">
        <v>384</v>
      </c>
      <c r="D56" s="29" t="s">
        <v>409</v>
      </c>
      <c r="E56" s="29" t="s">
        <v>410</v>
      </c>
      <c r="F56" s="29" t="s">
        <v>390</v>
      </c>
      <c r="G56" s="30" t="s">
        <v>35</v>
      </c>
      <c r="H56" s="31">
        <v>594</v>
      </c>
      <c r="I56" s="31"/>
      <c r="J56" t="s">
        <v>270</v>
      </c>
    </row>
    <row r="57" spans="1:10" ht="15.75" customHeight="1" x14ac:dyDescent="0.25">
      <c r="A57" s="28" t="s">
        <v>312</v>
      </c>
      <c r="B57" s="29" t="s">
        <v>315</v>
      </c>
      <c r="C57" s="29" t="s">
        <v>411</v>
      </c>
      <c r="D57" s="29" t="s">
        <v>204</v>
      </c>
      <c r="E57" s="29" t="s">
        <v>412</v>
      </c>
      <c r="F57" s="29" t="s">
        <v>390</v>
      </c>
      <c r="G57" s="30" t="s">
        <v>41</v>
      </c>
      <c r="H57" s="31">
        <v>1500</v>
      </c>
      <c r="I57" s="31"/>
      <c r="J57" t="s">
        <v>270</v>
      </c>
    </row>
    <row r="58" spans="1:10" ht="15.75" customHeight="1" x14ac:dyDescent="0.25">
      <c r="A58" s="28" t="s">
        <v>312</v>
      </c>
      <c r="B58" s="29" t="s">
        <v>316</v>
      </c>
      <c r="C58" s="29" t="s">
        <v>379</v>
      </c>
      <c r="D58" s="29" t="s">
        <v>263</v>
      </c>
      <c r="E58" s="29" t="s">
        <v>413</v>
      </c>
      <c r="F58" s="29" t="s">
        <v>64</v>
      </c>
      <c r="G58" s="30" t="s">
        <v>38</v>
      </c>
      <c r="H58" s="31">
        <v>50</v>
      </c>
      <c r="I58" s="31"/>
      <c r="J58" t="s">
        <v>270</v>
      </c>
    </row>
    <row r="59" spans="1:10" ht="15.75" customHeight="1" x14ac:dyDescent="0.25">
      <c r="A59" s="28" t="s">
        <v>312</v>
      </c>
      <c r="B59" s="29" t="s">
        <v>317</v>
      </c>
      <c r="C59" s="29" t="s">
        <v>264</v>
      </c>
      <c r="D59" s="29" t="s">
        <v>54</v>
      </c>
      <c r="E59" s="29" t="s">
        <v>54</v>
      </c>
      <c r="F59" s="29" t="s">
        <v>54</v>
      </c>
      <c r="G59" s="30" t="s">
        <v>54</v>
      </c>
      <c r="H59" s="31">
        <v>10000</v>
      </c>
      <c r="I59" s="31"/>
      <c r="J59" t="s">
        <v>278</v>
      </c>
    </row>
    <row r="60" spans="1:10" ht="15.75" customHeight="1" x14ac:dyDescent="0.25">
      <c r="A60" s="28" t="s">
        <v>312</v>
      </c>
      <c r="B60" s="29" t="s">
        <v>318</v>
      </c>
      <c r="C60" s="29" t="s">
        <v>59</v>
      </c>
      <c r="D60" s="29" t="s">
        <v>378</v>
      </c>
      <c r="E60" s="29" t="s">
        <v>414</v>
      </c>
      <c r="F60" s="29" t="s">
        <v>390</v>
      </c>
      <c r="G60" s="30" t="s">
        <v>43</v>
      </c>
      <c r="H60" s="31">
        <v>110</v>
      </c>
      <c r="I60" s="31"/>
      <c r="J60" t="s">
        <v>270</v>
      </c>
    </row>
    <row r="61" spans="1:10" ht="15.75" customHeight="1" x14ac:dyDescent="0.25">
      <c r="A61" s="28" t="s">
        <v>312</v>
      </c>
      <c r="B61" s="29" t="s">
        <v>319</v>
      </c>
      <c r="C61" s="29" t="s">
        <v>379</v>
      </c>
      <c r="D61" s="29" t="s">
        <v>83</v>
      </c>
      <c r="E61" s="29" t="s">
        <v>214</v>
      </c>
      <c r="F61" s="29" t="s">
        <v>390</v>
      </c>
      <c r="G61" s="30" t="s">
        <v>38</v>
      </c>
      <c r="H61" s="31">
        <v>110</v>
      </c>
      <c r="I61" s="31"/>
      <c r="J61" t="s">
        <v>270</v>
      </c>
    </row>
    <row r="62" spans="1:10" ht="15.75" customHeight="1" x14ac:dyDescent="0.25">
      <c r="A62" s="28" t="s">
        <v>312</v>
      </c>
      <c r="B62" s="29" t="s">
        <v>320</v>
      </c>
      <c r="C62" s="29" t="s">
        <v>59</v>
      </c>
      <c r="D62" s="29" t="s">
        <v>415</v>
      </c>
      <c r="E62" s="29" t="s">
        <v>416</v>
      </c>
      <c r="F62" s="29" t="s">
        <v>390</v>
      </c>
      <c r="G62" s="30" t="s">
        <v>43</v>
      </c>
      <c r="H62" s="31">
        <v>140</v>
      </c>
      <c r="I62" s="31"/>
      <c r="J62" t="s">
        <v>270</v>
      </c>
    </row>
    <row r="63" spans="1:10" ht="15.75" customHeight="1" x14ac:dyDescent="0.25">
      <c r="A63" s="28" t="s">
        <v>312</v>
      </c>
      <c r="B63" s="29" t="s">
        <v>321</v>
      </c>
      <c r="C63" s="29" t="s">
        <v>379</v>
      </c>
      <c r="D63" s="29" t="s">
        <v>417</v>
      </c>
      <c r="E63" s="29" t="s">
        <v>219</v>
      </c>
      <c r="F63" s="29" t="s">
        <v>390</v>
      </c>
      <c r="G63" s="30" t="s">
        <v>43</v>
      </c>
      <c r="H63" s="31">
        <v>55</v>
      </c>
      <c r="I63" s="31"/>
      <c r="J63" t="s">
        <v>270</v>
      </c>
    </row>
    <row r="64" spans="1:10" ht="15.75" customHeight="1" x14ac:dyDescent="0.25">
      <c r="A64" s="28" t="s">
        <v>322</v>
      </c>
      <c r="B64" s="29" t="s">
        <v>323</v>
      </c>
      <c r="C64" s="29" t="s">
        <v>230</v>
      </c>
      <c r="D64" s="29" t="s">
        <v>81</v>
      </c>
      <c r="E64" s="29" t="s">
        <v>399</v>
      </c>
      <c r="F64" s="29" t="s">
        <v>418</v>
      </c>
      <c r="G64" s="30" t="s">
        <v>220</v>
      </c>
      <c r="H64" s="31">
        <v>200</v>
      </c>
      <c r="I64" s="31"/>
      <c r="J64" t="s">
        <v>270</v>
      </c>
    </row>
    <row r="65" spans="1:10" ht="15.75" customHeight="1" x14ac:dyDescent="0.25">
      <c r="A65" s="28" t="s">
        <v>322</v>
      </c>
      <c r="B65" s="29" t="s">
        <v>324</v>
      </c>
      <c r="C65" s="29" t="s">
        <v>59</v>
      </c>
      <c r="D65" s="29" t="s">
        <v>419</v>
      </c>
      <c r="E65" s="29" t="s">
        <v>17</v>
      </c>
      <c r="F65" s="29" t="s">
        <v>388</v>
      </c>
      <c r="G65" s="30" t="s">
        <v>43</v>
      </c>
      <c r="H65" s="31">
        <v>2000</v>
      </c>
      <c r="I65" s="31"/>
      <c r="J65" t="s">
        <v>270</v>
      </c>
    </row>
    <row r="66" spans="1:10" ht="15.75" customHeight="1" x14ac:dyDescent="0.25">
      <c r="A66" s="28" t="s">
        <v>322</v>
      </c>
      <c r="B66" s="29" t="s">
        <v>325</v>
      </c>
      <c r="C66" s="29" t="s">
        <v>384</v>
      </c>
      <c r="D66" s="29" t="s">
        <v>420</v>
      </c>
      <c r="E66" s="29" t="s">
        <v>421</v>
      </c>
      <c r="F66" s="29" t="s">
        <v>390</v>
      </c>
      <c r="G66" s="30" t="s">
        <v>35</v>
      </c>
      <c r="H66" s="31">
        <v>2000</v>
      </c>
      <c r="I66" s="31"/>
      <c r="J66" t="s">
        <v>270</v>
      </c>
    </row>
    <row r="67" spans="1:10" ht="15.75" customHeight="1" x14ac:dyDescent="0.25">
      <c r="A67" s="28" t="s">
        <v>322</v>
      </c>
      <c r="B67" s="29" t="s">
        <v>326</v>
      </c>
      <c r="C67" s="29" t="s">
        <v>384</v>
      </c>
      <c r="D67" s="29" t="s">
        <v>420</v>
      </c>
      <c r="E67" s="29" t="s">
        <v>421</v>
      </c>
      <c r="F67" s="29" t="s">
        <v>390</v>
      </c>
      <c r="G67" s="30" t="s">
        <v>35</v>
      </c>
      <c r="H67" s="31">
        <v>1000</v>
      </c>
      <c r="I67" s="31"/>
      <c r="J67" t="s">
        <v>270</v>
      </c>
    </row>
    <row r="68" spans="1:10" ht="15.75" customHeight="1" x14ac:dyDescent="0.25">
      <c r="A68" s="28" t="s">
        <v>322</v>
      </c>
      <c r="B68" s="29" t="s">
        <v>327</v>
      </c>
      <c r="C68" s="29" t="s">
        <v>406</v>
      </c>
      <c r="D68" s="29" t="s">
        <v>422</v>
      </c>
      <c r="E68" s="29" t="s">
        <v>423</v>
      </c>
      <c r="F68" s="29" t="s">
        <v>424</v>
      </c>
      <c r="G68" s="30" t="s">
        <v>220</v>
      </c>
      <c r="H68" s="31">
        <v>4031.9</v>
      </c>
      <c r="I68" s="31"/>
      <c r="J68" t="s">
        <v>270</v>
      </c>
    </row>
    <row r="69" spans="1:10" ht="15.75" customHeight="1" x14ac:dyDescent="0.25">
      <c r="A69" s="28" t="s">
        <v>322</v>
      </c>
      <c r="B69" s="29" t="s">
        <v>328</v>
      </c>
      <c r="C69" s="29" t="s">
        <v>59</v>
      </c>
      <c r="D69" s="29" t="s">
        <v>378</v>
      </c>
      <c r="E69" s="29" t="s">
        <v>425</v>
      </c>
      <c r="F69" s="29" t="s">
        <v>424</v>
      </c>
      <c r="G69" s="30" t="s">
        <v>43</v>
      </c>
      <c r="H69" s="31">
        <v>120</v>
      </c>
      <c r="I69" s="31"/>
      <c r="J69" t="s">
        <v>270</v>
      </c>
    </row>
    <row r="70" spans="1:10" ht="15.75" customHeight="1" x14ac:dyDescent="0.25">
      <c r="A70" s="28" t="s">
        <v>329</v>
      </c>
      <c r="B70" s="29" t="s">
        <v>330</v>
      </c>
      <c r="C70" s="29" t="s">
        <v>406</v>
      </c>
      <c r="D70" s="29" t="s">
        <v>407</v>
      </c>
      <c r="E70" s="29" t="s">
        <v>65</v>
      </c>
      <c r="F70" s="29" t="s">
        <v>64</v>
      </c>
      <c r="G70" s="30" t="s">
        <v>38</v>
      </c>
      <c r="H70" s="31">
        <v>2000</v>
      </c>
      <c r="I70" s="31"/>
      <c r="J70" t="s">
        <v>270</v>
      </c>
    </row>
    <row r="71" spans="1:10" ht="15.75" customHeight="1" x14ac:dyDescent="0.25">
      <c r="A71" s="28" t="s">
        <v>329</v>
      </c>
      <c r="B71" s="29" t="s">
        <v>331</v>
      </c>
      <c r="C71" s="29" t="s">
        <v>384</v>
      </c>
      <c r="D71" s="29" t="s">
        <v>426</v>
      </c>
      <c r="E71" s="29" t="s">
        <v>395</v>
      </c>
      <c r="F71" s="29" t="s">
        <v>261</v>
      </c>
      <c r="G71" s="30" t="s">
        <v>35</v>
      </c>
      <c r="H71" s="31">
        <v>2000</v>
      </c>
      <c r="I71" s="31"/>
      <c r="J71" t="s">
        <v>270</v>
      </c>
    </row>
    <row r="72" spans="1:10" ht="15.75" customHeight="1" x14ac:dyDescent="0.25">
      <c r="A72" s="28" t="s">
        <v>329</v>
      </c>
      <c r="B72" s="29" t="s">
        <v>332</v>
      </c>
      <c r="C72" s="29" t="s">
        <v>384</v>
      </c>
      <c r="D72" s="29" t="s">
        <v>426</v>
      </c>
      <c r="E72" s="29" t="s">
        <v>395</v>
      </c>
      <c r="F72" s="29" t="s">
        <v>261</v>
      </c>
      <c r="G72" s="30" t="s">
        <v>35</v>
      </c>
      <c r="H72" s="31">
        <v>159</v>
      </c>
      <c r="I72" s="31"/>
      <c r="J72" t="s">
        <v>270</v>
      </c>
    </row>
    <row r="73" spans="1:10" ht="15.75" customHeight="1" x14ac:dyDescent="0.25">
      <c r="A73" s="28" t="s">
        <v>329</v>
      </c>
      <c r="B73" s="29" t="s">
        <v>333</v>
      </c>
      <c r="C73" s="29" t="s">
        <v>264</v>
      </c>
      <c r="D73" s="29" t="s">
        <v>427</v>
      </c>
      <c r="E73" s="29" t="s">
        <v>65</v>
      </c>
      <c r="F73" s="29" t="s">
        <v>54</v>
      </c>
      <c r="G73" s="30" t="s">
        <v>54</v>
      </c>
      <c r="H73" s="31">
        <v>2000</v>
      </c>
      <c r="I73" s="31"/>
      <c r="J73" t="s">
        <v>278</v>
      </c>
    </row>
    <row r="74" spans="1:10" ht="15.75" customHeight="1" x14ac:dyDescent="0.25">
      <c r="A74" s="28" t="s">
        <v>329</v>
      </c>
      <c r="B74" s="29" t="s">
        <v>334</v>
      </c>
      <c r="C74" s="29" t="s">
        <v>59</v>
      </c>
      <c r="D74" s="29" t="s">
        <v>428</v>
      </c>
      <c r="E74" s="29" t="s">
        <v>429</v>
      </c>
      <c r="F74" s="29" t="s">
        <v>262</v>
      </c>
      <c r="G74" s="30" t="s">
        <v>43</v>
      </c>
      <c r="H74" s="31">
        <v>1000</v>
      </c>
      <c r="I74" s="31"/>
      <c r="J74" t="s">
        <v>270</v>
      </c>
    </row>
    <row r="75" spans="1:10" ht="15.75" customHeight="1" x14ac:dyDescent="0.25">
      <c r="A75" s="28" t="s">
        <v>329</v>
      </c>
      <c r="B75" s="29" t="s">
        <v>335</v>
      </c>
      <c r="C75" s="29" t="s">
        <v>230</v>
      </c>
      <c r="D75" s="29" t="s">
        <v>81</v>
      </c>
      <c r="E75" s="29" t="s">
        <v>430</v>
      </c>
      <c r="F75" s="29" t="s">
        <v>369</v>
      </c>
      <c r="G75" s="30" t="s">
        <v>220</v>
      </c>
      <c r="H75" s="31">
        <v>1250</v>
      </c>
      <c r="I75" s="31"/>
      <c r="J75" t="s">
        <v>270</v>
      </c>
    </row>
    <row r="76" spans="1:10" ht="15.75" customHeight="1" x14ac:dyDescent="0.25">
      <c r="A76" s="28" t="s">
        <v>329</v>
      </c>
      <c r="B76" s="29" t="s">
        <v>336</v>
      </c>
      <c r="C76" s="29" t="s">
        <v>384</v>
      </c>
      <c r="D76" s="29" t="s">
        <v>389</v>
      </c>
      <c r="E76" s="29" t="s">
        <v>374</v>
      </c>
      <c r="F76" s="29" t="s">
        <v>390</v>
      </c>
      <c r="G76" s="30" t="s">
        <v>35</v>
      </c>
      <c r="H76" s="31">
        <v>2541</v>
      </c>
      <c r="I76" s="31"/>
      <c r="J76" t="s">
        <v>270</v>
      </c>
    </row>
    <row r="77" spans="1:10" ht="15.75" customHeight="1" x14ac:dyDescent="0.25">
      <c r="A77" s="28" t="s">
        <v>337</v>
      </c>
      <c r="B77" s="29" t="s">
        <v>338</v>
      </c>
      <c r="C77" s="29" t="s">
        <v>379</v>
      </c>
      <c r="D77" s="29" t="s">
        <v>204</v>
      </c>
      <c r="E77" s="29" t="s">
        <v>65</v>
      </c>
      <c r="F77" s="29" t="s">
        <v>64</v>
      </c>
      <c r="G77" s="30" t="s">
        <v>38</v>
      </c>
      <c r="H77" s="31">
        <v>398.03</v>
      </c>
      <c r="I77" s="31"/>
      <c r="J77" t="s">
        <v>270</v>
      </c>
    </row>
    <row r="78" spans="1:10" ht="15.75" customHeight="1" x14ac:dyDescent="0.25">
      <c r="A78" s="28" t="s">
        <v>337</v>
      </c>
      <c r="B78" s="29" t="s">
        <v>339</v>
      </c>
      <c r="C78" s="29" t="s">
        <v>59</v>
      </c>
      <c r="D78" s="29" t="s">
        <v>428</v>
      </c>
      <c r="E78" s="29" t="s">
        <v>17</v>
      </c>
      <c r="F78" s="29" t="s">
        <v>388</v>
      </c>
      <c r="G78" s="30" t="s">
        <v>43</v>
      </c>
      <c r="H78" s="31">
        <v>2500</v>
      </c>
      <c r="I78" s="31"/>
      <c r="J78" t="s">
        <v>270</v>
      </c>
    </row>
    <row r="79" spans="1:10" ht="15.75" customHeight="1" x14ac:dyDescent="0.25">
      <c r="A79" s="28" t="s">
        <v>337</v>
      </c>
      <c r="B79" s="29" t="s">
        <v>340</v>
      </c>
      <c r="C79" s="29" t="s">
        <v>384</v>
      </c>
      <c r="D79" s="29" t="s">
        <v>394</v>
      </c>
      <c r="E79" s="29" t="s">
        <v>395</v>
      </c>
      <c r="F79" s="29" t="s">
        <v>261</v>
      </c>
      <c r="G79" s="30" t="s">
        <v>35</v>
      </c>
      <c r="H79" s="31">
        <v>1385</v>
      </c>
      <c r="I79" s="31"/>
      <c r="J79" t="s">
        <v>270</v>
      </c>
    </row>
    <row r="80" spans="1:10" ht="15.75" customHeight="1" x14ac:dyDescent="0.25">
      <c r="A80" s="28" t="s">
        <v>337</v>
      </c>
      <c r="B80" s="29" t="s">
        <v>341</v>
      </c>
      <c r="C80" s="29" t="s">
        <v>384</v>
      </c>
      <c r="D80" s="29" t="s">
        <v>409</v>
      </c>
      <c r="E80" s="29" t="s">
        <v>421</v>
      </c>
      <c r="F80" s="29" t="s">
        <v>390</v>
      </c>
      <c r="G80" s="30" t="s">
        <v>35</v>
      </c>
      <c r="H80" s="31">
        <v>1000</v>
      </c>
      <c r="I80" s="31"/>
      <c r="J80" t="s">
        <v>270</v>
      </c>
    </row>
    <row r="81" spans="1:10" ht="15.75" customHeight="1" x14ac:dyDescent="0.25">
      <c r="A81" s="28" t="s">
        <v>337</v>
      </c>
      <c r="B81" s="29" t="s">
        <v>342</v>
      </c>
      <c r="C81" s="29" t="s">
        <v>411</v>
      </c>
      <c r="D81" s="29" t="s">
        <v>431</v>
      </c>
      <c r="E81" s="29" t="s">
        <v>432</v>
      </c>
      <c r="F81" s="29" t="s">
        <v>383</v>
      </c>
      <c r="G81" s="30" t="s">
        <v>41</v>
      </c>
      <c r="H81" s="31">
        <v>750</v>
      </c>
      <c r="I81" s="31"/>
      <c r="J81" t="s">
        <v>270</v>
      </c>
    </row>
    <row r="82" spans="1:10" ht="15.75" customHeight="1" x14ac:dyDescent="0.25">
      <c r="A82" s="28" t="s">
        <v>337</v>
      </c>
      <c r="B82" s="29" t="s">
        <v>343</v>
      </c>
      <c r="C82" s="29" t="s">
        <v>59</v>
      </c>
      <c r="D82" s="29" t="s">
        <v>433</v>
      </c>
      <c r="E82" s="29" t="s">
        <v>12</v>
      </c>
      <c r="F82" s="29" t="s">
        <v>262</v>
      </c>
      <c r="G82" s="30" t="s">
        <v>43</v>
      </c>
      <c r="H82" s="31">
        <v>800</v>
      </c>
      <c r="I82" s="31"/>
      <c r="J82" t="s">
        <v>270</v>
      </c>
    </row>
    <row r="83" spans="1:10" ht="15.75" customHeight="1" x14ac:dyDescent="0.25">
      <c r="A83" s="28" t="s">
        <v>337</v>
      </c>
      <c r="B83" s="29" t="s">
        <v>344</v>
      </c>
      <c r="C83" s="29" t="s">
        <v>379</v>
      </c>
      <c r="D83" s="29" t="s">
        <v>434</v>
      </c>
      <c r="E83" s="29" t="s">
        <v>17</v>
      </c>
      <c r="F83" s="29" t="s">
        <v>64</v>
      </c>
      <c r="G83" s="30" t="s">
        <v>38</v>
      </c>
      <c r="H83" s="31">
        <v>1500</v>
      </c>
      <c r="I83" s="31"/>
      <c r="J83" t="s">
        <v>270</v>
      </c>
    </row>
    <row r="84" spans="1:10" ht="15.75" customHeight="1" x14ac:dyDescent="0.25">
      <c r="A84" s="28" t="s">
        <v>345</v>
      </c>
      <c r="B84" s="29" t="s">
        <v>346</v>
      </c>
      <c r="C84" s="29" t="s">
        <v>264</v>
      </c>
      <c r="D84" s="29" t="s">
        <v>54</v>
      </c>
      <c r="E84" s="29" t="s">
        <v>54</v>
      </c>
      <c r="F84" s="29" t="s">
        <v>54</v>
      </c>
      <c r="G84" s="30" t="s">
        <v>54</v>
      </c>
      <c r="H84" s="31">
        <v>15000</v>
      </c>
      <c r="I84" s="31"/>
      <c r="J84" t="s">
        <v>278</v>
      </c>
    </row>
    <row r="85" spans="1:10" ht="15.75" customHeight="1" x14ac:dyDescent="0.25">
      <c r="A85" s="28" t="s">
        <v>345</v>
      </c>
      <c r="B85" s="29" t="s">
        <v>347</v>
      </c>
      <c r="C85" s="29" t="s">
        <v>384</v>
      </c>
      <c r="D85" s="29" t="s">
        <v>435</v>
      </c>
      <c r="E85" s="29" t="s">
        <v>179</v>
      </c>
      <c r="F85" s="29" t="s">
        <v>262</v>
      </c>
      <c r="G85" s="30" t="s">
        <v>35</v>
      </c>
      <c r="H85" s="31">
        <v>9479</v>
      </c>
      <c r="I85" s="31"/>
      <c r="J85" t="s">
        <v>270</v>
      </c>
    </row>
    <row r="86" spans="1:10" ht="15.75" customHeight="1" x14ac:dyDescent="0.25">
      <c r="A86" s="28" t="s">
        <v>345</v>
      </c>
      <c r="B86" s="29" t="s">
        <v>348</v>
      </c>
      <c r="C86" s="29" t="s">
        <v>59</v>
      </c>
      <c r="D86" s="29" t="s">
        <v>428</v>
      </c>
      <c r="E86" s="29" t="s">
        <v>17</v>
      </c>
      <c r="F86" s="29" t="s">
        <v>388</v>
      </c>
      <c r="G86" s="30" t="s">
        <v>43</v>
      </c>
      <c r="H86" s="31">
        <v>2000</v>
      </c>
      <c r="I86" s="31"/>
      <c r="J86" t="s">
        <v>270</v>
      </c>
    </row>
    <row r="87" spans="1:10" ht="15.75" customHeight="1" x14ac:dyDescent="0.25">
      <c r="A87" s="28" t="s">
        <v>345</v>
      </c>
      <c r="B87" s="29" t="s">
        <v>349</v>
      </c>
      <c r="C87" s="29" t="s">
        <v>59</v>
      </c>
      <c r="D87" s="29" t="s">
        <v>398</v>
      </c>
      <c r="E87" s="29" t="s">
        <v>17</v>
      </c>
      <c r="F87" s="29" t="s">
        <v>388</v>
      </c>
      <c r="G87" s="30" t="s">
        <v>43</v>
      </c>
      <c r="H87" s="31">
        <v>1000</v>
      </c>
      <c r="I87" s="31"/>
      <c r="J87" t="s">
        <v>270</v>
      </c>
    </row>
    <row r="88" spans="1:10" ht="15.75" customHeight="1" x14ac:dyDescent="0.25">
      <c r="A88" s="28" t="s">
        <v>345</v>
      </c>
      <c r="B88" s="29" t="s">
        <v>350</v>
      </c>
      <c r="C88" s="29" t="s">
        <v>59</v>
      </c>
      <c r="D88" s="29" t="s">
        <v>398</v>
      </c>
      <c r="E88" s="29" t="s">
        <v>17</v>
      </c>
      <c r="F88" s="29" t="s">
        <v>388</v>
      </c>
      <c r="G88" s="30" t="s">
        <v>43</v>
      </c>
      <c r="H88" s="31">
        <v>2000</v>
      </c>
      <c r="I88" s="31"/>
      <c r="J88" t="s">
        <v>270</v>
      </c>
    </row>
    <row r="89" spans="1:10" ht="15.75" customHeight="1" x14ac:dyDescent="0.25">
      <c r="A89" s="28" t="s">
        <v>351</v>
      </c>
      <c r="B89" s="29" t="s">
        <v>352</v>
      </c>
      <c r="C89" s="29" t="s">
        <v>59</v>
      </c>
      <c r="D89" s="29" t="s">
        <v>398</v>
      </c>
      <c r="E89" s="29" t="s">
        <v>17</v>
      </c>
      <c r="F89" s="29" t="s">
        <v>388</v>
      </c>
      <c r="G89" s="30" t="s">
        <v>43</v>
      </c>
      <c r="H89" s="31">
        <v>1500</v>
      </c>
      <c r="I89" s="31"/>
      <c r="J89" t="s">
        <v>270</v>
      </c>
    </row>
    <row r="90" spans="1:10" ht="15.75" customHeight="1" x14ac:dyDescent="0.25">
      <c r="A90" s="28" t="s">
        <v>353</v>
      </c>
      <c r="B90" s="29" t="s">
        <v>354</v>
      </c>
      <c r="C90" s="29" t="s">
        <v>264</v>
      </c>
      <c r="D90" s="29" t="s">
        <v>54</v>
      </c>
      <c r="E90" s="29" t="s">
        <v>54</v>
      </c>
      <c r="F90" s="29" t="s">
        <v>54</v>
      </c>
      <c r="G90" s="30" t="s">
        <v>54</v>
      </c>
      <c r="H90" s="31">
        <v>5000</v>
      </c>
      <c r="I90" s="31"/>
      <c r="J90" t="s">
        <v>278</v>
      </c>
    </row>
    <row r="91" spans="1:10" ht="15.75" customHeight="1" x14ac:dyDescent="0.25">
      <c r="A91" s="28" t="s">
        <v>355</v>
      </c>
      <c r="B91" s="29" t="s">
        <v>356</v>
      </c>
      <c r="C91" s="29" t="s">
        <v>59</v>
      </c>
      <c r="D91" s="29" t="s">
        <v>428</v>
      </c>
      <c r="E91" s="29" t="s">
        <v>17</v>
      </c>
      <c r="F91" s="29" t="s">
        <v>388</v>
      </c>
      <c r="G91" s="30" t="s">
        <v>43</v>
      </c>
      <c r="H91" s="31">
        <v>1000</v>
      </c>
      <c r="I91" s="31"/>
      <c r="J91" t="s">
        <v>270</v>
      </c>
    </row>
    <row r="92" spans="1:10" ht="15.75" customHeight="1" x14ac:dyDescent="0.25">
      <c r="A92" s="28" t="s">
        <v>355</v>
      </c>
      <c r="B92" s="29" t="s">
        <v>357</v>
      </c>
      <c r="C92" s="29" t="s">
        <v>264</v>
      </c>
      <c r="D92" s="29" t="s">
        <v>54</v>
      </c>
      <c r="E92" s="29" t="s">
        <v>54</v>
      </c>
      <c r="F92" s="29" t="s">
        <v>54</v>
      </c>
      <c r="G92" s="30" t="s">
        <v>54</v>
      </c>
      <c r="H92" s="31">
        <v>20000</v>
      </c>
      <c r="I92" s="31"/>
      <c r="J92" t="s">
        <v>278</v>
      </c>
    </row>
    <row r="93" spans="1:10" ht="15.75" customHeight="1" x14ac:dyDescent="0.25">
      <c r="A93" s="28" t="s">
        <v>358</v>
      </c>
      <c r="B93" s="29" t="s">
        <v>359</v>
      </c>
      <c r="C93" s="29" t="s">
        <v>384</v>
      </c>
      <c r="D93" s="29" t="s">
        <v>497</v>
      </c>
      <c r="E93" s="29" t="s">
        <v>179</v>
      </c>
      <c r="F93" s="29" t="s">
        <v>383</v>
      </c>
      <c r="G93" s="30" t="s">
        <v>35</v>
      </c>
      <c r="H93" s="31">
        <v>9984</v>
      </c>
      <c r="I93" s="31"/>
      <c r="J93" t="s">
        <v>270</v>
      </c>
    </row>
    <row r="94" spans="1:10" ht="15.75" customHeight="1" x14ac:dyDescent="0.25">
      <c r="A94" s="28" t="s">
        <v>358</v>
      </c>
      <c r="B94" s="29" t="s">
        <v>360</v>
      </c>
      <c r="C94" s="29" t="s">
        <v>384</v>
      </c>
      <c r="D94" s="29" t="s">
        <v>497</v>
      </c>
      <c r="E94" s="29" t="s">
        <v>179</v>
      </c>
      <c r="F94" s="29" t="s">
        <v>383</v>
      </c>
      <c r="G94" s="30" t="s">
        <v>35</v>
      </c>
      <c r="H94" s="31">
        <v>4700</v>
      </c>
      <c r="I94" s="31"/>
      <c r="J94" t="s">
        <v>270</v>
      </c>
    </row>
    <row r="95" spans="1:10" ht="15.75" customHeight="1" x14ac:dyDescent="0.25">
      <c r="A95" s="28" t="s">
        <v>358</v>
      </c>
      <c r="B95" s="29" t="s">
        <v>361</v>
      </c>
      <c r="C95" s="29" t="s">
        <v>59</v>
      </c>
      <c r="D95" s="29" t="s">
        <v>204</v>
      </c>
      <c r="E95" s="29" t="s">
        <v>436</v>
      </c>
      <c r="F95" s="29" t="s">
        <v>262</v>
      </c>
      <c r="G95" s="30" t="s">
        <v>43</v>
      </c>
      <c r="H95" s="31">
        <v>300</v>
      </c>
      <c r="I95" s="31"/>
      <c r="J95" t="s">
        <v>270</v>
      </c>
    </row>
    <row r="96" spans="1:10" ht="15.75" customHeight="1" x14ac:dyDescent="0.25">
      <c r="A96" s="28" t="s">
        <v>358</v>
      </c>
      <c r="B96" s="29" t="s">
        <v>362</v>
      </c>
      <c r="C96" s="29" t="s">
        <v>59</v>
      </c>
      <c r="D96" s="29" t="s">
        <v>428</v>
      </c>
      <c r="E96" s="29" t="s">
        <v>17</v>
      </c>
      <c r="F96" s="29" t="s">
        <v>262</v>
      </c>
      <c r="G96" s="30" t="s">
        <v>43</v>
      </c>
      <c r="H96" s="31">
        <v>1000</v>
      </c>
      <c r="I96" s="31"/>
      <c r="J96" t="s">
        <v>270</v>
      </c>
    </row>
    <row r="97" spans="1:10" ht="15.75" customHeight="1" x14ac:dyDescent="0.25">
      <c r="A97" s="28" t="s">
        <v>358</v>
      </c>
      <c r="B97" s="29" t="s">
        <v>363</v>
      </c>
      <c r="C97" s="29" t="s">
        <v>384</v>
      </c>
      <c r="D97" s="29" t="s">
        <v>437</v>
      </c>
      <c r="E97" s="29" t="s">
        <v>438</v>
      </c>
      <c r="F97" s="29" t="s">
        <v>390</v>
      </c>
      <c r="G97" s="30" t="s">
        <v>35</v>
      </c>
      <c r="H97" s="31">
        <v>910</v>
      </c>
      <c r="I97" s="31"/>
      <c r="J97" t="s">
        <v>270</v>
      </c>
    </row>
    <row r="98" spans="1:10" ht="15.75" customHeight="1" x14ac:dyDescent="0.25">
      <c r="A98" s="28" t="s">
        <v>358</v>
      </c>
      <c r="B98" s="29" t="s">
        <v>364</v>
      </c>
      <c r="C98" s="29" t="s">
        <v>59</v>
      </c>
      <c r="D98" s="29" t="s">
        <v>204</v>
      </c>
      <c r="E98" s="29" t="s">
        <v>12</v>
      </c>
      <c r="F98" s="29" t="s">
        <v>262</v>
      </c>
      <c r="G98" s="30" t="s">
        <v>43</v>
      </c>
      <c r="H98" s="31">
        <v>1000</v>
      </c>
      <c r="I98" s="31"/>
      <c r="J98" t="s">
        <v>270</v>
      </c>
    </row>
    <row r="99" spans="1:10" ht="15.75" customHeight="1" x14ac:dyDescent="0.25">
      <c r="A99" s="28" t="s">
        <v>365</v>
      </c>
      <c r="B99" s="29" t="s">
        <v>366</v>
      </c>
      <c r="C99" s="29" t="s">
        <v>264</v>
      </c>
      <c r="D99" s="29" t="s">
        <v>54</v>
      </c>
      <c r="E99" s="29" t="s">
        <v>54</v>
      </c>
      <c r="F99" s="29" t="s">
        <v>54</v>
      </c>
      <c r="G99" s="30" t="s">
        <v>54</v>
      </c>
      <c r="H99" s="31">
        <v>60000</v>
      </c>
      <c r="I99" s="31"/>
      <c r="J99" t="s">
        <v>278</v>
      </c>
    </row>
    <row r="100" spans="1:10" ht="15.75" customHeight="1" x14ac:dyDescent="0.25">
      <c r="A100" s="28" t="s">
        <v>365</v>
      </c>
      <c r="B100" s="29" t="s">
        <v>367</v>
      </c>
      <c r="C100" s="29" t="s">
        <v>411</v>
      </c>
      <c r="D100" s="29" t="s">
        <v>439</v>
      </c>
      <c r="E100" s="29" t="s">
        <v>146</v>
      </c>
      <c r="F100" s="29" t="s">
        <v>383</v>
      </c>
      <c r="G100" s="30" t="s">
        <v>41</v>
      </c>
      <c r="H100" s="31">
        <v>20618</v>
      </c>
      <c r="I100" s="31"/>
      <c r="J100" t="s">
        <v>270</v>
      </c>
    </row>
    <row r="101" spans="1:10" ht="15.75" customHeight="1" x14ac:dyDescent="0.25">
      <c r="A101" s="28" t="s">
        <v>440</v>
      </c>
      <c r="B101" s="29" t="s">
        <v>441</v>
      </c>
      <c r="C101" s="29" t="s">
        <v>384</v>
      </c>
      <c r="D101" s="29" t="s">
        <v>389</v>
      </c>
      <c r="E101" s="29" t="s">
        <v>485</v>
      </c>
      <c r="F101" s="29" t="s">
        <v>261</v>
      </c>
      <c r="G101" s="30" t="s">
        <v>35</v>
      </c>
      <c r="H101" s="31">
        <v>2000</v>
      </c>
      <c r="I101" s="31"/>
      <c r="J101" s="58" t="s">
        <v>270</v>
      </c>
    </row>
    <row r="102" spans="1:10" ht="15.75" customHeight="1" x14ac:dyDescent="0.25">
      <c r="A102" s="28" t="s">
        <v>440</v>
      </c>
      <c r="B102" s="29" t="s">
        <v>442</v>
      </c>
      <c r="C102" s="29" t="s">
        <v>384</v>
      </c>
      <c r="D102" s="29" t="s">
        <v>389</v>
      </c>
      <c r="E102" s="29" t="s">
        <v>485</v>
      </c>
      <c r="F102" s="29" t="s">
        <v>261</v>
      </c>
      <c r="G102" s="30" t="s">
        <v>35</v>
      </c>
      <c r="H102" s="31">
        <v>23890</v>
      </c>
      <c r="I102" s="31"/>
      <c r="J102" s="58" t="s">
        <v>270</v>
      </c>
    </row>
    <row r="103" spans="1:10" ht="15.75" customHeight="1" x14ac:dyDescent="0.25">
      <c r="A103" s="28" t="s">
        <v>440</v>
      </c>
      <c r="B103" s="29" t="s">
        <v>443</v>
      </c>
      <c r="C103" s="29" t="s">
        <v>384</v>
      </c>
      <c r="D103" s="29" t="s">
        <v>486</v>
      </c>
      <c r="E103" s="29" t="s">
        <v>487</v>
      </c>
      <c r="F103" s="29" t="s">
        <v>262</v>
      </c>
      <c r="G103" s="30" t="s">
        <v>35</v>
      </c>
      <c r="H103" s="31">
        <v>8000</v>
      </c>
      <c r="I103" s="31"/>
      <c r="J103" s="58" t="s">
        <v>270</v>
      </c>
    </row>
    <row r="104" spans="1:10" ht="15.75" customHeight="1" x14ac:dyDescent="0.25">
      <c r="A104" s="28" t="s">
        <v>440</v>
      </c>
      <c r="B104" s="29" t="s">
        <v>444</v>
      </c>
      <c r="C104" s="29" t="s">
        <v>59</v>
      </c>
      <c r="D104" s="29" t="s">
        <v>378</v>
      </c>
      <c r="E104" s="29" t="s">
        <v>488</v>
      </c>
      <c r="F104" s="29" t="s">
        <v>262</v>
      </c>
      <c r="G104" s="30" t="s">
        <v>43</v>
      </c>
      <c r="H104" s="31">
        <v>252</v>
      </c>
      <c r="I104" s="31"/>
      <c r="J104" s="58" t="s">
        <v>270</v>
      </c>
    </row>
    <row r="105" spans="1:10" ht="15.75" customHeight="1" x14ac:dyDescent="0.25">
      <c r="A105" s="28" t="s">
        <v>445</v>
      </c>
      <c r="B105" s="29" t="s">
        <v>446</v>
      </c>
      <c r="C105" s="29" t="s">
        <v>59</v>
      </c>
      <c r="D105" s="29" t="s">
        <v>380</v>
      </c>
      <c r="E105" s="29" t="s">
        <v>489</v>
      </c>
      <c r="F105" s="29" t="s">
        <v>262</v>
      </c>
      <c r="G105" s="30" t="s">
        <v>43</v>
      </c>
      <c r="H105" s="31">
        <v>80</v>
      </c>
      <c r="I105" s="31"/>
      <c r="J105" s="58" t="s">
        <v>270</v>
      </c>
    </row>
    <row r="106" spans="1:10" ht="15.75" customHeight="1" x14ac:dyDescent="0.25">
      <c r="A106" s="28" t="s">
        <v>445</v>
      </c>
      <c r="B106" s="29" t="s">
        <v>447</v>
      </c>
      <c r="C106" s="29" t="s">
        <v>59</v>
      </c>
      <c r="D106" s="29" t="s">
        <v>400</v>
      </c>
      <c r="E106" s="29" t="s">
        <v>401</v>
      </c>
      <c r="F106" s="29" t="s">
        <v>388</v>
      </c>
      <c r="G106" s="30" t="s">
        <v>43</v>
      </c>
      <c r="H106" s="31">
        <v>3000</v>
      </c>
      <c r="I106" s="31"/>
      <c r="J106" s="58" t="s">
        <v>270</v>
      </c>
    </row>
    <row r="107" spans="1:10" ht="15.75" customHeight="1" x14ac:dyDescent="0.25">
      <c r="A107" s="28" t="s">
        <v>448</v>
      </c>
      <c r="B107" s="29" t="s">
        <v>449</v>
      </c>
      <c r="C107" s="29" t="s">
        <v>59</v>
      </c>
      <c r="D107" s="29" t="s">
        <v>435</v>
      </c>
      <c r="E107" s="29" t="s">
        <v>12</v>
      </c>
      <c r="F107" s="29" t="s">
        <v>262</v>
      </c>
      <c r="G107" s="30" t="s">
        <v>43</v>
      </c>
      <c r="H107" s="31">
        <v>2000</v>
      </c>
      <c r="I107" s="31"/>
      <c r="J107" s="58" t="s">
        <v>270</v>
      </c>
    </row>
    <row r="108" spans="1:10" ht="15.75" customHeight="1" x14ac:dyDescent="0.25">
      <c r="A108" s="28" t="s">
        <v>448</v>
      </c>
      <c r="B108" s="29" t="s">
        <v>450</v>
      </c>
      <c r="C108" s="29" t="s">
        <v>379</v>
      </c>
      <c r="D108" s="29" t="s">
        <v>97</v>
      </c>
      <c r="E108" s="29" t="s">
        <v>490</v>
      </c>
      <c r="F108" s="29" t="s">
        <v>64</v>
      </c>
      <c r="G108" s="30" t="s">
        <v>38</v>
      </c>
      <c r="H108" s="31">
        <v>300</v>
      </c>
      <c r="I108" s="31"/>
      <c r="J108" s="58" t="s">
        <v>270</v>
      </c>
    </row>
    <row r="109" spans="1:10" ht="15.75" customHeight="1" x14ac:dyDescent="0.25">
      <c r="A109" s="28" t="s">
        <v>451</v>
      </c>
      <c r="B109" s="29" t="s">
        <v>452</v>
      </c>
      <c r="C109" s="29" t="s">
        <v>264</v>
      </c>
      <c r="D109" s="29" t="s">
        <v>54</v>
      </c>
      <c r="E109" s="29" t="s">
        <v>54</v>
      </c>
      <c r="F109" s="29" t="s">
        <v>54</v>
      </c>
      <c r="G109" s="30" t="s">
        <v>54</v>
      </c>
      <c r="H109" s="31">
        <v>175600</v>
      </c>
      <c r="I109" s="31"/>
      <c r="J109" s="58" t="s">
        <v>278</v>
      </c>
    </row>
    <row r="110" spans="1:10" ht="15.75" customHeight="1" x14ac:dyDescent="0.25">
      <c r="A110" s="28" t="s">
        <v>451</v>
      </c>
      <c r="B110" s="29" t="s">
        <v>453</v>
      </c>
      <c r="C110" s="29" t="s">
        <v>491</v>
      </c>
      <c r="D110" s="29" t="s">
        <v>52</v>
      </c>
      <c r="E110" s="29" t="s">
        <v>52</v>
      </c>
      <c r="F110" s="29" t="s">
        <v>52</v>
      </c>
      <c r="G110" s="30" t="s">
        <v>52</v>
      </c>
      <c r="H110" s="31">
        <v>175600</v>
      </c>
      <c r="I110" s="31"/>
      <c r="J110" s="58" t="s">
        <v>270</v>
      </c>
    </row>
    <row r="111" spans="1:10" ht="15.75" customHeight="1" x14ac:dyDescent="0.25">
      <c r="A111" s="28" t="s">
        <v>451</v>
      </c>
      <c r="B111" s="29" t="s">
        <v>454</v>
      </c>
      <c r="C111" s="29" t="s">
        <v>384</v>
      </c>
      <c r="D111" s="29" t="s">
        <v>389</v>
      </c>
      <c r="E111" s="29" t="s">
        <v>492</v>
      </c>
      <c r="F111" s="29" t="s">
        <v>369</v>
      </c>
      <c r="G111" s="30" t="s">
        <v>35</v>
      </c>
      <c r="H111" s="31">
        <v>5540</v>
      </c>
      <c r="I111" s="31"/>
      <c r="J111" s="58" t="s">
        <v>270</v>
      </c>
    </row>
    <row r="112" spans="1:10" ht="15.75" customHeight="1" x14ac:dyDescent="0.25">
      <c r="A112" s="28" t="s">
        <v>451</v>
      </c>
      <c r="B112" s="29" t="s">
        <v>455</v>
      </c>
      <c r="C112" s="29" t="s">
        <v>230</v>
      </c>
      <c r="D112" s="29" t="s">
        <v>81</v>
      </c>
      <c r="E112" s="29" t="s">
        <v>493</v>
      </c>
      <c r="F112" s="29" t="s">
        <v>369</v>
      </c>
      <c r="G112" s="30" t="s">
        <v>220</v>
      </c>
      <c r="H112" s="31">
        <v>300</v>
      </c>
      <c r="I112" s="31"/>
      <c r="J112" s="58" t="s">
        <v>270</v>
      </c>
    </row>
    <row r="113" spans="1:10" ht="15.75" customHeight="1" x14ac:dyDescent="0.25">
      <c r="A113" s="28" t="s">
        <v>456</v>
      </c>
      <c r="B113" s="29" t="s">
        <v>457</v>
      </c>
      <c r="C113" s="29" t="s">
        <v>59</v>
      </c>
      <c r="D113" s="29" t="s">
        <v>417</v>
      </c>
      <c r="E113" s="29" t="s">
        <v>494</v>
      </c>
      <c r="F113" s="29" t="s">
        <v>262</v>
      </c>
      <c r="G113" s="30" t="s">
        <v>43</v>
      </c>
      <c r="H113" s="31">
        <v>80</v>
      </c>
      <c r="I113" s="31"/>
      <c r="J113" s="58" t="s">
        <v>270</v>
      </c>
    </row>
    <row r="114" spans="1:10" ht="15.75" customHeight="1" x14ac:dyDescent="0.25">
      <c r="A114" s="28" t="s">
        <v>458</v>
      </c>
      <c r="B114" s="29" t="s">
        <v>459</v>
      </c>
      <c r="C114" s="29" t="s">
        <v>264</v>
      </c>
      <c r="D114" s="29" t="s">
        <v>54</v>
      </c>
      <c r="E114" s="29" t="s">
        <v>54</v>
      </c>
      <c r="F114" s="29" t="s">
        <v>54</v>
      </c>
      <c r="G114" s="30" t="s">
        <v>54</v>
      </c>
      <c r="H114" s="31">
        <v>175600</v>
      </c>
      <c r="I114" s="31"/>
      <c r="J114" s="58" t="s">
        <v>278</v>
      </c>
    </row>
    <row r="115" spans="1:10" ht="15.75" customHeight="1" x14ac:dyDescent="0.25">
      <c r="A115" s="28" t="s">
        <v>458</v>
      </c>
      <c r="B115" s="29" t="s">
        <v>460</v>
      </c>
      <c r="C115" s="29" t="s">
        <v>379</v>
      </c>
      <c r="D115" s="29" t="s">
        <v>495</v>
      </c>
      <c r="E115" s="29" t="s">
        <v>496</v>
      </c>
      <c r="F115" s="29" t="s">
        <v>64</v>
      </c>
      <c r="G115" s="30" t="s">
        <v>38</v>
      </c>
      <c r="H115" s="31">
        <v>175600</v>
      </c>
      <c r="I115" s="31"/>
      <c r="J115" s="58" t="s">
        <v>270</v>
      </c>
    </row>
    <row r="116" spans="1:10" ht="15.75" customHeight="1" x14ac:dyDescent="0.25">
      <c r="A116" s="28" t="s">
        <v>458</v>
      </c>
      <c r="B116" s="29" t="s">
        <v>461</v>
      </c>
      <c r="C116" s="29" t="s">
        <v>264</v>
      </c>
      <c r="D116" s="29" t="s">
        <v>54</v>
      </c>
      <c r="E116" s="29" t="s">
        <v>54</v>
      </c>
      <c r="F116" s="29" t="s">
        <v>54</v>
      </c>
      <c r="G116" s="30" t="s">
        <v>54</v>
      </c>
      <c r="H116" s="31">
        <v>25000</v>
      </c>
      <c r="I116" s="31"/>
      <c r="J116" s="58" t="s">
        <v>278</v>
      </c>
    </row>
    <row r="117" spans="1:10" ht="15.75" customHeight="1" x14ac:dyDescent="0.25">
      <c r="A117" s="28" t="s">
        <v>458</v>
      </c>
      <c r="B117" s="29" t="s">
        <v>462</v>
      </c>
      <c r="C117" s="29" t="s">
        <v>59</v>
      </c>
      <c r="D117" s="29" t="s">
        <v>497</v>
      </c>
      <c r="E117" s="29" t="s">
        <v>421</v>
      </c>
      <c r="F117" s="29" t="s">
        <v>390</v>
      </c>
      <c r="G117" s="30" t="s">
        <v>43</v>
      </c>
      <c r="H117" s="31">
        <v>10000</v>
      </c>
      <c r="I117" s="31"/>
      <c r="J117" s="58" t="s">
        <v>270</v>
      </c>
    </row>
    <row r="118" spans="1:10" ht="15.75" customHeight="1" x14ac:dyDescent="0.25">
      <c r="A118" s="28" t="s">
        <v>458</v>
      </c>
      <c r="B118" s="29" t="s">
        <v>463</v>
      </c>
      <c r="C118" s="29" t="s">
        <v>379</v>
      </c>
      <c r="D118" s="29" t="s">
        <v>439</v>
      </c>
      <c r="E118" s="29" t="s">
        <v>146</v>
      </c>
      <c r="F118" s="29" t="s">
        <v>64</v>
      </c>
      <c r="G118" s="30" t="s">
        <v>38</v>
      </c>
      <c r="H118" s="31">
        <v>3926</v>
      </c>
      <c r="I118" s="31"/>
      <c r="J118" s="58" t="s">
        <v>270</v>
      </c>
    </row>
    <row r="119" spans="1:10" ht="15.75" customHeight="1" x14ac:dyDescent="0.25">
      <c r="A119" s="28" t="s">
        <v>458</v>
      </c>
      <c r="B119" s="29" t="s">
        <v>464</v>
      </c>
      <c r="C119" s="29" t="s">
        <v>384</v>
      </c>
      <c r="D119" s="29" t="s">
        <v>394</v>
      </c>
      <c r="E119" s="29" t="s">
        <v>395</v>
      </c>
      <c r="F119" s="29" t="s">
        <v>261</v>
      </c>
      <c r="G119" s="30" t="s">
        <v>35</v>
      </c>
      <c r="H119" s="31">
        <v>2275</v>
      </c>
      <c r="I119" s="31"/>
      <c r="J119" s="58" t="s">
        <v>270</v>
      </c>
    </row>
    <row r="120" spans="1:10" ht="15.75" customHeight="1" x14ac:dyDescent="0.25">
      <c r="A120" s="28" t="s">
        <v>458</v>
      </c>
      <c r="B120" s="29" t="s">
        <v>465</v>
      </c>
      <c r="C120" s="29" t="s">
        <v>384</v>
      </c>
      <c r="D120" s="29" t="s">
        <v>389</v>
      </c>
      <c r="E120" s="29" t="s">
        <v>374</v>
      </c>
      <c r="F120" s="29" t="s">
        <v>390</v>
      </c>
      <c r="G120" s="30" t="s">
        <v>35</v>
      </c>
      <c r="H120" s="31">
        <v>497</v>
      </c>
      <c r="I120" s="31"/>
      <c r="J120" s="58" t="s">
        <v>270</v>
      </c>
    </row>
    <row r="121" spans="1:10" ht="15.75" customHeight="1" x14ac:dyDescent="0.25">
      <c r="A121" s="28" t="s">
        <v>458</v>
      </c>
      <c r="B121" s="29" t="s">
        <v>466</v>
      </c>
      <c r="C121" s="29" t="s">
        <v>59</v>
      </c>
      <c r="D121" s="29" t="s">
        <v>428</v>
      </c>
      <c r="E121" s="29" t="s">
        <v>12</v>
      </c>
      <c r="F121" s="29" t="s">
        <v>84</v>
      </c>
      <c r="G121" s="30" t="s">
        <v>43</v>
      </c>
      <c r="H121" s="31">
        <v>1000</v>
      </c>
      <c r="I121" s="31"/>
      <c r="J121" s="58" t="s">
        <v>270</v>
      </c>
    </row>
    <row r="122" spans="1:10" ht="15.75" customHeight="1" x14ac:dyDescent="0.25">
      <c r="A122" s="28" t="s">
        <v>458</v>
      </c>
      <c r="B122" s="29" t="s">
        <v>467</v>
      </c>
      <c r="C122" s="29" t="s">
        <v>491</v>
      </c>
      <c r="D122" s="29" t="s">
        <v>427</v>
      </c>
      <c r="E122" s="29" t="s">
        <v>17</v>
      </c>
      <c r="F122" s="29" t="s">
        <v>52</v>
      </c>
      <c r="G122" s="30" t="s">
        <v>52</v>
      </c>
      <c r="H122" s="31">
        <v>1000</v>
      </c>
      <c r="I122" s="31"/>
      <c r="J122" s="58" t="s">
        <v>278</v>
      </c>
    </row>
    <row r="123" spans="1:10" ht="15.75" customHeight="1" x14ac:dyDescent="0.25">
      <c r="A123" s="28" t="s">
        <v>468</v>
      </c>
      <c r="B123" s="29" t="s">
        <v>469</v>
      </c>
      <c r="C123" s="29" t="s">
        <v>59</v>
      </c>
      <c r="D123" s="29" t="s">
        <v>428</v>
      </c>
      <c r="E123" s="29" t="s">
        <v>12</v>
      </c>
      <c r="F123" s="29" t="s">
        <v>84</v>
      </c>
      <c r="G123" s="30" t="s">
        <v>43</v>
      </c>
      <c r="H123" s="31">
        <v>1000</v>
      </c>
      <c r="I123" s="31"/>
      <c r="J123" s="58" t="s">
        <v>270</v>
      </c>
    </row>
    <row r="124" spans="1:10" ht="15.75" customHeight="1" x14ac:dyDescent="0.25">
      <c r="A124" s="28" t="s">
        <v>468</v>
      </c>
      <c r="B124" s="29" t="s">
        <v>470</v>
      </c>
      <c r="C124" s="29" t="s">
        <v>384</v>
      </c>
      <c r="D124" s="29" t="s">
        <v>385</v>
      </c>
      <c r="E124" s="29" t="s">
        <v>499</v>
      </c>
      <c r="F124" s="29" t="s">
        <v>390</v>
      </c>
      <c r="G124" s="30" t="s">
        <v>35</v>
      </c>
      <c r="H124" s="31">
        <v>590</v>
      </c>
      <c r="I124" s="31"/>
      <c r="J124" s="58" t="s">
        <v>270</v>
      </c>
    </row>
    <row r="125" spans="1:10" ht="15.75" customHeight="1" x14ac:dyDescent="0.25">
      <c r="A125" s="28" t="s">
        <v>468</v>
      </c>
      <c r="B125" s="29" t="s">
        <v>471</v>
      </c>
      <c r="C125" s="29" t="s">
        <v>264</v>
      </c>
      <c r="D125" s="29" t="s">
        <v>54</v>
      </c>
      <c r="E125" s="29" t="s">
        <v>54</v>
      </c>
      <c r="F125" s="29" t="s">
        <v>54</v>
      </c>
      <c r="G125" s="30" t="s">
        <v>54</v>
      </c>
      <c r="H125" s="31">
        <v>129000</v>
      </c>
      <c r="I125" s="31"/>
      <c r="J125" s="58" t="s">
        <v>278</v>
      </c>
    </row>
    <row r="126" spans="1:10" ht="15.75" customHeight="1" x14ac:dyDescent="0.25">
      <c r="A126" s="28" t="s">
        <v>468</v>
      </c>
      <c r="B126" s="29" t="s">
        <v>472</v>
      </c>
      <c r="C126" s="29" t="s">
        <v>379</v>
      </c>
      <c r="D126" s="29" t="s">
        <v>64</v>
      </c>
      <c r="E126" s="29" t="s">
        <v>500</v>
      </c>
      <c r="F126" s="29" t="s">
        <v>64</v>
      </c>
      <c r="G126" s="30" t="s">
        <v>38</v>
      </c>
      <c r="H126" s="31">
        <v>1227</v>
      </c>
      <c r="I126" s="31"/>
      <c r="J126" s="58" t="s">
        <v>270</v>
      </c>
    </row>
    <row r="127" spans="1:10" ht="15.75" customHeight="1" x14ac:dyDescent="0.25">
      <c r="A127" s="28" t="s">
        <v>468</v>
      </c>
      <c r="B127" s="29" t="s">
        <v>473</v>
      </c>
      <c r="C127" s="29" t="s">
        <v>384</v>
      </c>
      <c r="D127" s="29" t="s">
        <v>497</v>
      </c>
      <c r="E127" s="29" t="s">
        <v>501</v>
      </c>
      <c r="F127" s="29" t="s">
        <v>390</v>
      </c>
      <c r="G127" s="30" t="s">
        <v>35</v>
      </c>
      <c r="H127" s="31">
        <v>129180</v>
      </c>
      <c r="I127" s="31"/>
      <c r="J127" s="58" t="s">
        <v>270</v>
      </c>
    </row>
    <row r="128" spans="1:10" ht="15.75" customHeight="1" x14ac:dyDescent="0.25">
      <c r="A128" s="28" t="s">
        <v>468</v>
      </c>
      <c r="B128" s="29" t="s">
        <v>474</v>
      </c>
      <c r="C128" s="29" t="s">
        <v>384</v>
      </c>
      <c r="D128" s="29" t="s">
        <v>502</v>
      </c>
      <c r="E128" s="29" t="s">
        <v>503</v>
      </c>
      <c r="F128" s="29" t="s">
        <v>64</v>
      </c>
      <c r="G128" s="30" t="s">
        <v>35</v>
      </c>
      <c r="H128" s="31">
        <v>3894</v>
      </c>
      <c r="I128" s="31"/>
      <c r="J128" s="58" t="s">
        <v>270</v>
      </c>
    </row>
    <row r="129" spans="1:10" ht="15.75" customHeight="1" x14ac:dyDescent="0.25">
      <c r="A129" s="28" t="s">
        <v>468</v>
      </c>
      <c r="B129" s="29" t="s">
        <v>475</v>
      </c>
      <c r="C129" s="29" t="s">
        <v>264</v>
      </c>
      <c r="D129" s="29" t="s">
        <v>427</v>
      </c>
      <c r="E129" s="29" t="s">
        <v>65</v>
      </c>
      <c r="F129" s="29" t="s">
        <v>54</v>
      </c>
      <c r="G129" s="30" t="s">
        <v>54</v>
      </c>
      <c r="H129" s="31">
        <v>1227</v>
      </c>
      <c r="I129" s="31"/>
      <c r="J129" s="58" t="s">
        <v>278</v>
      </c>
    </row>
    <row r="130" spans="1:10" ht="15.75" customHeight="1" x14ac:dyDescent="0.25">
      <c r="A130" s="28" t="s">
        <v>468</v>
      </c>
      <c r="B130" s="29" t="s">
        <v>476</v>
      </c>
      <c r="C130" s="29" t="s">
        <v>411</v>
      </c>
      <c r="D130" s="29" t="s">
        <v>498</v>
      </c>
      <c r="E130" s="29" t="s">
        <v>94</v>
      </c>
      <c r="F130" s="29" t="s">
        <v>383</v>
      </c>
      <c r="G130" s="30" t="s">
        <v>41</v>
      </c>
      <c r="H130" s="31">
        <v>1850</v>
      </c>
      <c r="I130" s="31"/>
      <c r="J130" s="58" t="s">
        <v>270</v>
      </c>
    </row>
    <row r="131" spans="1:10" ht="15.75" customHeight="1" x14ac:dyDescent="0.25">
      <c r="A131" s="28" t="s">
        <v>477</v>
      </c>
      <c r="B131" s="29" t="s">
        <v>478</v>
      </c>
      <c r="C131" s="29" t="s">
        <v>264</v>
      </c>
      <c r="D131" s="29" t="s">
        <v>54</v>
      </c>
      <c r="E131" s="29" t="s">
        <v>54</v>
      </c>
      <c r="F131" s="29" t="s">
        <v>54</v>
      </c>
      <c r="G131" s="30" t="s">
        <v>54</v>
      </c>
      <c r="H131" s="31">
        <v>5000</v>
      </c>
      <c r="I131" s="31"/>
      <c r="J131" s="58" t="s">
        <v>278</v>
      </c>
    </row>
    <row r="132" spans="1:10" ht="15.75" customHeight="1" x14ac:dyDescent="0.25">
      <c r="A132" s="28" t="s">
        <v>477</v>
      </c>
      <c r="B132" s="29" t="s">
        <v>479</v>
      </c>
      <c r="C132" s="29" t="s">
        <v>59</v>
      </c>
      <c r="D132" s="29" t="s">
        <v>378</v>
      </c>
      <c r="E132" s="29" t="s">
        <v>504</v>
      </c>
      <c r="F132" s="29" t="s">
        <v>390</v>
      </c>
      <c r="G132" s="30" t="s">
        <v>43</v>
      </c>
      <c r="H132" s="31">
        <v>225</v>
      </c>
      <c r="I132" s="31"/>
      <c r="J132" s="58" t="s">
        <v>270</v>
      </c>
    </row>
    <row r="133" spans="1:10" ht="15.75" customHeight="1" x14ac:dyDescent="0.25">
      <c r="A133" s="28" t="s">
        <v>477</v>
      </c>
      <c r="B133" s="29" t="s">
        <v>480</v>
      </c>
      <c r="C133" s="29" t="s">
        <v>384</v>
      </c>
      <c r="D133" s="29" t="s">
        <v>505</v>
      </c>
      <c r="E133" s="29" t="s">
        <v>179</v>
      </c>
      <c r="F133" s="29" t="s">
        <v>262</v>
      </c>
      <c r="G133" s="30" t="s">
        <v>35</v>
      </c>
      <c r="H133" s="31">
        <v>1800</v>
      </c>
      <c r="I133" s="31"/>
      <c r="J133" s="58" t="s">
        <v>270</v>
      </c>
    </row>
    <row r="134" spans="1:10" ht="15.75" customHeight="1" x14ac:dyDescent="0.25">
      <c r="A134" s="28" t="s">
        <v>477</v>
      </c>
      <c r="B134" s="29" t="s">
        <v>481</v>
      </c>
      <c r="C134" s="29" t="s">
        <v>59</v>
      </c>
      <c r="D134" s="29" t="s">
        <v>378</v>
      </c>
      <c r="E134" s="29" t="s">
        <v>506</v>
      </c>
      <c r="F134" s="29" t="s">
        <v>390</v>
      </c>
      <c r="G134" s="30" t="s">
        <v>43</v>
      </c>
      <c r="H134" s="31">
        <v>700</v>
      </c>
      <c r="I134" s="31"/>
      <c r="J134" s="58" t="s">
        <v>270</v>
      </c>
    </row>
    <row r="135" spans="1:10" ht="15.75" customHeight="1" x14ac:dyDescent="0.25">
      <c r="A135" s="28" t="s">
        <v>477</v>
      </c>
      <c r="B135" s="29" t="s">
        <v>482</v>
      </c>
      <c r="C135" s="29" t="s">
        <v>411</v>
      </c>
      <c r="D135" s="29" t="s">
        <v>204</v>
      </c>
      <c r="E135" s="29" t="s">
        <v>421</v>
      </c>
      <c r="F135" s="29" t="s">
        <v>390</v>
      </c>
      <c r="G135" s="30" t="s">
        <v>41</v>
      </c>
      <c r="H135" s="31">
        <v>2000</v>
      </c>
      <c r="I135" s="31"/>
      <c r="J135" s="58" t="s">
        <v>270</v>
      </c>
    </row>
    <row r="136" spans="1:10" ht="15.75" customHeight="1" x14ac:dyDescent="0.25">
      <c r="A136" s="28" t="s">
        <v>477</v>
      </c>
      <c r="B136" s="29" t="s">
        <v>483</v>
      </c>
      <c r="C136" s="29" t="s">
        <v>507</v>
      </c>
      <c r="D136" s="29" t="s">
        <v>212</v>
      </c>
      <c r="E136" s="29" t="s">
        <v>212</v>
      </c>
      <c r="F136" s="29" t="s">
        <v>212</v>
      </c>
      <c r="G136" s="30" t="s">
        <v>212</v>
      </c>
      <c r="H136" s="31">
        <v>170.99</v>
      </c>
      <c r="I136" s="31"/>
      <c r="J136" s="58" t="s">
        <v>270</v>
      </c>
    </row>
    <row r="137" spans="1:10" ht="15.75" customHeight="1" x14ac:dyDescent="0.25">
      <c r="A137" s="28" t="s">
        <v>477</v>
      </c>
      <c r="B137" s="29" t="s">
        <v>484</v>
      </c>
      <c r="C137" s="29" t="s">
        <v>507</v>
      </c>
      <c r="D137" s="29" t="s">
        <v>212</v>
      </c>
      <c r="E137" s="29" t="s">
        <v>212</v>
      </c>
      <c r="F137" s="29" t="s">
        <v>212</v>
      </c>
      <c r="G137" s="30" t="s">
        <v>212</v>
      </c>
      <c r="H137" s="31">
        <v>949.93</v>
      </c>
      <c r="I137" s="31"/>
      <c r="J137" s="58" t="s">
        <v>270</v>
      </c>
    </row>
    <row r="138" spans="1:10" ht="15.75" customHeight="1" x14ac:dyDescent="0.25">
      <c r="A138" s="28" t="s">
        <v>509</v>
      </c>
      <c r="B138" s="29" t="s">
        <v>510</v>
      </c>
      <c r="C138" s="29" t="s">
        <v>264</v>
      </c>
      <c r="D138" s="29" t="s">
        <v>54</v>
      </c>
      <c r="E138" s="29" t="s">
        <v>54</v>
      </c>
      <c r="F138" s="29" t="s">
        <v>54</v>
      </c>
      <c r="G138" s="30" t="s">
        <v>54</v>
      </c>
      <c r="H138" s="31">
        <v>5000</v>
      </c>
      <c r="I138" s="31"/>
      <c r="J138" s="58" t="s">
        <v>278</v>
      </c>
    </row>
    <row r="139" spans="1:10" ht="15.75" customHeight="1" x14ac:dyDescent="0.25">
      <c r="A139" s="28" t="s">
        <v>509</v>
      </c>
      <c r="B139" s="29" t="s">
        <v>511</v>
      </c>
      <c r="C139" s="29" t="s">
        <v>59</v>
      </c>
      <c r="D139" s="29" t="s">
        <v>428</v>
      </c>
      <c r="E139" s="29" t="s">
        <v>17</v>
      </c>
      <c r="F139" s="29" t="s">
        <v>251</v>
      </c>
      <c r="G139" s="30" t="s">
        <v>43</v>
      </c>
      <c r="H139" s="31">
        <v>1000</v>
      </c>
      <c r="I139" s="31"/>
      <c r="J139" s="58" t="s">
        <v>270</v>
      </c>
    </row>
    <row r="140" spans="1:10" ht="15.75" customHeight="1" x14ac:dyDescent="0.25">
      <c r="A140" s="28" t="s">
        <v>509</v>
      </c>
      <c r="B140" s="29" t="s">
        <v>512</v>
      </c>
      <c r="C140" s="29" t="s">
        <v>59</v>
      </c>
      <c r="D140" s="29" t="s">
        <v>428</v>
      </c>
      <c r="E140" s="29" t="s">
        <v>17</v>
      </c>
      <c r="F140" s="29" t="s">
        <v>251</v>
      </c>
      <c r="G140" s="30" t="s">
        <v>43</v>
      </c>
      <c r="H140" s="31">
        <v>1000</v>
      </c>
      <c r="I140" s="31"/>
      <c r="J140" s="58" t="s">
        <v>270</v>
      </c>
    </row>
    <row r="141" spans="1:10" ht="15.75" customHeight="1" x14ac:dyDescent="0.25">
      <c r="A141" s="28" t="s">
        <v>509</v>
      </c>
      <c r="B141" s="29" t="s">
        <v>513</v>
      </c>
      <c r="C141" s="29" t="s">
        <v>379</v>
      </c>
      <c r="D141" s="29" t="s">
        <v>378</v>
      </c>
      <c r="E141" s="29" t="s">
        <v>536</v>
      </c>
      <c r="F141" s="29" t="s">
        <v>64</v>
      </c>
      <c r="G141" s="30" t="s">
        <v>38</v>
      </c>
      <c r="H141" s="31">
        <v>250</v>
      </c>
      <c r="I141" s="31"/>
      <c r="J141" s="58" t="s">
        <v>270</v>
      </c>
    </row>
    <row r="142" spans="1:10" ht="15.75" customHeight="1" x14ac:dyDescent="0.25">
      <c r="A142" s="28" t="s">
        <v>509</v>
      </c>
      <c r="B142" s="29" t="s">
        <v>514</v>
      </c>
      <c r="C142" s="29" t="s">
        <v>59</v>
      </c>
      <c r="D142" s="29" t="s">
        <v>428</v>
      </c>
      <c r="E142" s="29" t="s">
        <v>429</v>
      </c>
      <c r="F142" s="29" t="s">
        <v>84</v>
      </c>
      <c r="G142" s="30" t="s">
        <v>43</v>
      </c>
      <c r="H142" s="31">
        <v>1000</v>
      </c>
      <c r="I142" s="31"/>
      <c r="J142" s="58" t="s">
        <v>270</v>
      </c>
    </row>
    <row r="143" spans="1:10" ht="15.75" customHeight="1" x14ac:dyDescent="0.25">
      <c r="A143" s="28" t="s">
        <v>509</v>
      </c>
      <c r="B143" s="29" t="s">
        <v>515</v>
      </c>
      <c r="C143" s="29" t="s">
        <v>59</v>
      </c>
      <c r="D143" s="29" t="s">
        <v>428</v>
      </c>
      <c r="E143" s="29" t="s">
        <v>537</v>
      </c>
      <c r="F143" s="29" t="s">
        <v>251</v>
      </c>
      <c r="G143" s="30" t="s">
        <v>43</v>
      </c>
      <c r="H143" s="31">
        <v>800</v>
      </c>
      <c r="I143" s="31"/>
      <c r="J143" s="58" t="s">
        <v>270</v>
      </c>
    </row>
    <row r="144" spans="1:10" ht="15.75" customHeight="1" x14ac:dyDescent="0.25">
      <c r="A144" s="28" t="s">
        <v>516</v>
      </c>
      <c r="B144" s="29" t="s">
        <v>517</v>
      </c>
      <c r="C144" s="29" t="s">
        <v>59</v>
      </c>
      <c r="D144" s="29" t="s">
        <v>538</v>
      </c>
      <c r="E144" s="29" t="s">
        <v>429</v>
      </c>
      <c r="F144" s="29" t="s">
        <v>84</v>
      </c>
      <c r="G144" s="30" t="s">
        <v>43</v>
      </c>
      <c r="H144" s="31">
        <v>500</v>
      </c>
      <c r="I144" s="31"/>
      <c r="J144" s="58" t="s">
        <v>270</v>
      </c>
    </row>
    <row r="145" spans="1:10" ht="15.75" customHeight="1" x14ac:dyDescent="0.25">
      <c r="A145" s="28" t="s">
        <v>518</v>
      </c>
      <c r="B145" s="29" t="s">
        <v>519</v>
      </c>
      <c r="C145" s="29" t="s">
        <v>264</v>
      </c>
      <c r="D145" s="29" t="s">
        <v>54</v>
      </c>
      <c r="E145" s="29" t="s">
        <v>54</v>
      </c>
      <c r="F145" s="29" t="s">
        <v>54</v>
      </c>
      <c r="G145" s="30" t="s">
        <v>54</v>
      </c>
      <c r="H145" s="31">
        <v>15000</v>
      </c>
      <c r="I145" s="31"/>
      <c r="J145" s="58" t="s">
        <v>278</v>
      </c>
    </row>
    <row r="146" spans="1:10" ht="15.75" customHeight="1" x14ac:dyDescent="0.25">
      <c r="A146" s="28" t="s">
        <v>518</v>
      </c>
      <c r="B146" s="29" t="s">
        <v>520</v>
      </c>
      <c r="C146" s="29" t="s">
        <v>59</v>
      </c>
      <c r="D146" s="29" t="s">
        <v>378</v>
      </c>
      <c r="E146" s="29" t="s">
        <v>65</v>
      </c>
      <c r="F146" s="29" t="s">
        <v>251</v>
      </c>
      <c r="G146" s="30" t="s">
        <v>43</v>
      </c>
      <c r="H146" s="31">
        <v>2000</v>
      </c>
      <c r="I146" s="31"/>
      <c r="J146" s="58" t="s">
        <v>270</v>
      </c>
    </row>
    <row r="147" spans="1:10" ht="15.75" customHeight="1" x14ac:dyDescent="0.25">
      <c r="A147" s="28" t="s">
        <v>518</v>
      </c>
      <c r="B147" s="29" t="s">
        <v>521</v>
      </c>
      <c r="C147" s="29" t="s">
        <v>59</v>
      </c>
      <c r="D147" s="29" t="s">
        <v>428</v>
      </c>
      <c r="E147" s="29" t="s">
        <v>421</v>
      </c>
      <c r="F147" s="29" t="s">
        <v>390</v>
      </c>
      <c r="G147" s="30" t="s">
        <v>43</v>
      </c>
      <c r="H147" s="31">
        <v>4000</v>
      </c>
      <c r="I147" s="31"/>
      <c r="J147" s="58" t="s">
        <v>270</v>
      </c>
    </row>
    <row r="148" spans="1:10" ht="15.75" customHeight="1" x14ac:dyDescent="0.25">
      <c r="A148" s="28" t="s">
        <v>518</v>
      </c>
      <c r="B148" s="29" t="s">
        <v>522</v>
      </c>
      <c r="C148" s="29" t="s">
        <v>264</v>
      </c>
      <c r="D148" s="29" t="s">
        <v>54</v>
      </c>
      <c r="E148" s="29" t="s">
        <v>54</v>
      </c>
      <c r="F148" s="29" t="s">
        <v>54</v>
      </c>
      <c r="G148" s="30" t="s">
        <v>54</v>
      </c>
      <c r="H148" s="31">
        <v>5000</v>
      </c>
      <c r="I148" s="31"/>
      <c r="J148" s="58" t="s">
        <v>278</v>
      </c>
    </row>
    <row r="149" spans="1:10" ht="15.75" customHeight="1" x14ac:dyDescent="0.25">
      <c r="A149" s="28" t="s">
        <v>518</v>
      </c>
      <c r="B149" s="29" t="s">
        <v>523</v>
      </c>
      <c r="C149" s="29" t="s">
        <v>384</v>
      </c>
      <c r="D149" s="29" t="s">
        <v>389</v>
      </c>
      <c r="E149" s="29" t="s">
        <v>492</v>
      </c>
      <c r="F149" s="29" t="s">
        <v>251</v>
      </c>
      <c r="G149" s="30" t="s">
        <v>35</v>
      </c>
      <c r="H149" s="31">
        <v>2000</v>
      </c>
      <c r="I149" s="31"/>
      <c r="J149" s="58" t="s">
        <v>270</v>
      </c>
    </row>
    <row r="150" spans="1:10" ht="15.75" customHeight="1" x14ac:dyDescent="0.25">
      <c r="A150" s="28" t="s">
        <v>518</v>
      </c>
      <c r="B150" s="29" t="s">
        <v>524</v>
      </c>
      <c r="C150" s="29" t="s">
        <v>384</v>
      </c>
      <c r="D150" s="29" t="s">
        <v>389</v>
      </c>
      <c r="E150" s="29" t="s">
        <v>492</v>
      </c>
      <c r="F150" s="29" t="s">
        <v>251</v>
      </c>
      <c r="G150" s="30" t="s">
        <v>35</v>
      </c>
      <c r="H150" s="31">
        <v>10950</v>
      </c>
      <c r="I150" s="31"/>
      <c r="J150" s="58" t="s">
        <v>270</v>
      </c>
    </row>
    <row r="151" spans="1:10" ht="15.75" customHeight="1" x14ac:dyDescent="0.25">
      <c r="A151" s="28" t="s">
        <v>518</v>
      </c>
      <c r="B151" s="29" t="s">
        <v>525</v>
      </c>
      <c r="C151" s="29" t="s">
        <v>230</v>
      </c>
      <c r="D151" s="29" t="s">
        <v>81</v>
      </c>
      <c r="E151" s="29" t="s">
        <v>493</v>
      </c>
      <c r="F151" s="29" t="s">
        <v>251</v>
      </c>
      <c r="G151" s="30" t="s">
        <v>220</v>
      </c>
      <c r="H151" s="31">
        <v>300</v>
      </c>
      <c r="I151" s="31"/>
      <c r="J151" s="58" t="s">
        <v>270</v>
      </c>
    </row>
    <row r="152" spans="1:10" ht="15.75" customHeight="1" x14ac:dyDescent="0.25">
      <c r="A152" s="28" t="s">
        <v>518</v>
      </c>
      <c r="B152" s="29" t="s">
        <v>526</v>
      </c>
      <c r="C152" s="29" t="s">
        <v>264</v>
      </c>
      <c r="D152" s="29" t="s">
        <v>54</v>
      </c>
      <c r="E152" s="29" t="s">
        <v>65</v>
      </c>
      <c r="F152" s="29" t="s">
        <v>54</v>
      </c>
      <c r="G152" s="30" t="s">
        <v>54</v>
      </c>
      <c r="H152" s="31">
        <v>100</v>
      </c>
      <c r="I152" s="31"/>
      <c r="J152" s="58" t="s">
        <v>278</v>
      </c>
    </row>
    <row r="153" spans="1:10" ht="15.75" customHeight="1" x14ac:dyDescent="0.25">
      <c r="A153" s="28" t="s">
        <v>518</v>
      </c>
      <c r="B153" s="29" t="s">
        <v>527</v>
      </c>
      <c r="C153" s="29" t="s">
        <v>59</v>
      </c>
      <c r="D153" s="29" t="s">
        <v>428</v>
      </c>
      <c r="E153" s="29" t="s">
        <v>12</v>
      </c>
      <c r="F153" s="29" t="s">
        <v>251</v>
      </c>
      <c r="G153" s="30" t="s">
        <v>43</v>
      </c>
      <c r="H153" s="31">
        <v>1000</v>
      </c>
      <c r="I153" s="31"/>
      <c r="J153" s="58" t="s">
        <v>270</v>
      </c>
    </row>
    <row r="154" spans="1:10" ht="15.75" customHeight="1" x14ac:dyDescent="0.25">
      <c r="A154" s="28" t="s">
        <v>518</v>
      </c>
      <c r="B154" s="29" t="s">
        <v>528</v>
      </c>
      <c r="C154" s="29" t="s">
        <v>264</v>
      </c>
      <c r="D154" s="29" t="s">
        <v>54</v>
      </c>
      <c r="E154" s="29" t="s">
        <v>54</v>
      </c>
      <c r="F154" s="29" t="s">
        <v>54</v>
      </c>
      <c r="G154" s="30" t="s">
        <v>54</v>
      </c>
      <c r="H154" s="31">
        <v>10000</v>
      </c>
      <c r="I154" s="31"/>
      <c r="J154" s="58" t="s">
        <v>278</v>
      </c>
    </row>
    <row r="155" spans="1:10" ht="15.75" customHeight="1" x14ac:dyDescent="0.25">
      <c r="A155" s="28" t="s">
        <v>518</v>
      </c>
      <c r="B155" s="29" t="s">
        <v>529</v>
      </c>
      <c r="C155" s="29" t="s">
        <v>59</v>
      </c>
      <c r="D155" s="29" t="s">
        <v>428</v>
      </c>
      <c r="E155" s="29" t="s">
        <v>17</v>
      </c>
      <c r="F155" s="29" t="s">
        <v>251</v>
      </c>
      <c r="G155" s="30" t="s">
        <v>43</v>
      </c>
      <c r="H155" s="31">
        <v>1000</v>
      </c>
      <c r="I155" s="31"/>
      <c r="J155" s="58" t="s">
        <v>270</v>
      </c>
    </row>
    <row r="156" spans="1:10" ht="15.75" customHeight="1" x14ac:dyDescent="0.25">
      <c r="A156" s="28" t="s">
        <v>518</v>
      </c>
      <c r="B156" s="29" t="s">
        <v>530</v>
      </c>
      <c r="C156" s="29" t="s">
        <v>59</v>
      </c>
      <c r="D156" s="29" t="s">
        <v>428</v>
      </c>
      <c r="E156" s="29" t="s">
        <v>17</v>
      </c>
      <c r="F156" s="29" t="s">
        <v>539</v>
      </c>
      <c r="G156" s="30" t="s">
        <v>43</v>
      </c>
      <c r="H156" s="31">
        <v>1000</v>
      </c>
      <c r="I156" s="31"/>
      <c r="J156" s="58" t="s">
        <v>270</v>
      </c>
    </row>
    <row r="157" spans="1:10" ht="15.75" customHeight="1" x14ac:dyDescent="0.25">
      <c r="A157" s="28" t="s">
        <v>518</v>
      </c>
      <c r="B157" s="29" t="s">
        <v>531</v>
      </c>
      <c r="C157" s="29" t="s">
        <v>379</v>
      </c>
      <c r="D157" s="29" t="s">
        <v>540</v>
      </c>
      <c r="E157" s="29" t="s">
        <v>381</v>
      </c>
      <c r="F157" s="29" t="s">
        <v>64</v>
      </c>
      <c r="G157" s="30" t="s">
        <v>38</v>
      </c>
      <c r="H157" s="31">
        <v>1000</v>
      </c>
      <c r="I157" s="31"/>
      <c r="J157" s="58" t="s">
        <v>270</v>
      </c>
    </row>
    <row r="158" spans="1:10" ht="15.75" customHeight="1" x14ac:dyDescent="0.25">
      <c r="A158" s="28" t="s">
        <v>532</v>
      </c>
      <c r="B158" s="29" t="s">
        <v>533</v>
      </c>
      <c r="C158" s="29" t="s">
        <v>264</v>
      </c>
      <c r="D158" s="29" t="s">
        <v>54</v>
      </c>
      <c r="E158" s="29" t="s">
        <v>54</v>
      </c>
      <c r="F158" s="29" t="s">
        <v>54</v>
      </c>
      <c r="G158" s="30" t="s">
        <v>54</v>
      </c>
      <c r="H158" s="31">
        <v>10000</v>
      </c>
      <c r="I158" s="31"/>
      <c r="J158" s="58" t="s">
        <v>278</v>
      </c>
    </row>
    <row r="159" spans="1:10" ht="15.75" customHeight="1" x14ac:dyDescent="0.25">
      <c r="A159" s="28" t="s">
        <v>532</v>
      </c>
      <c r="B159" s="29" t="s">
        <v>534</v>
      </c>
      <c r="C159" s="29" t="s">
        <v>230</v>
      </c>
      <c r="D159" s="29" t="s">
        <v>81</v>
      </c>
      <c r="E159" s="29" t="s">
        <v>541</v>
      </c>
      <c r="F159" s="29" t="s">
        <v>262</v>
      </c>
      <c r="G159" s="30" t="s">
        <v>220</v>
      </c>
      <c r="H159" s="31">
        <v>10750</v>
      </c>
      <c r="I159" s="31"/>
      <c r="J159" s="58" t="s">
        <v>270</v>
      </c>
    </row>
    <row r="160" spans="1:10" ht="15.75" customHeight="1" x14ac:dyDescent="0.25">
      <c r="A160" s="28" t="s">
        <v>532</v>
      </c>
      <c r="B160" s="29" t="s">
        <v>535</v>
      </c>
      <c r="C160" s="29" t="s">
        <v>59</v>
      </c>
      <c r="D160" s="29" t="s">
        <v>378</v>
      </c>
      <c r="E160" s="29" t="s">
        <v>17</v>
      </c>
      <c r="F160" s="29" t="s">
        <v>539</v>
      </c>
      <c r="G160" s="30" t="s">
        <v>43</v>
      </c>
      <c r="H160" s="31">
        <v>2000</v>
      </c>
      <c r="I160" s="31"/>
      <c r="J160" s="58" t="s">
        <v>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22"/>
  <sheetViews>
    <sheetView tabSelected="1" zoomScale="175" zoomScaleNormal="175" workbookViewId="0">
      <selection activeCell="D1" sqref="D1"/>
    </sheetView>
  </sheetViews>
  <sheetFormatPr defaultRowHeight="12" x14ac:dyDescent="0.2"/>
  <cols>
    <col min="1" max="1" width="4.28515625" style="112" customWidth="1"/>
    <col min="2" max="2" width="11.42578125" style="112" customWidth="1"/>
    <col min="3" max="3" width="67.42578125" style="105" customWidth="1"/>
    <col min="4" max="4" width="14" style="105" customWidth="1"/>
    <col min="5" max="5" width="8" style="112" customWidth="1"/>
    <col min="6" max="6" width="11.42578125" style="119" customWidth="1"/>
    <col min="7" max="7" width="16.85546875" style="117" customWidth="1"/>
    <col min="8" max="8" width="14" style="117" customWidth="1"/>
    <col min="9" max="9" width="15.85546875" style="117" customWidth="1"/>
    <col min="10" max="10" width="4.28515625" style="105" customWidth="1"/>
    <col min="11" max="16384" width="9.140625" style="105"/>
  </cols>
  <sheetData>
    <row r="1" spans="1:11" ht="16.5" customHeight="1" x14ac:dyDescent="0.2">
      <c r="A1" s="113" t="s">
        <v>1262</v>
      </c>
      <c r="B1" s="113" t="s">
        <v>31</v>
      </c>
      <c r="C1" s="107" t="s">
        <v>630</v>
      </c>
      <c r="D1" s="106" t="s">
        <v>1</v>
      </c>
      <c r="E1" s="108" t="s">
        <v>259</v>
      </c>
      <c r="F1" s="118" t="s">
        <v>260</v>
      </c>
      <c r="G1" s="114" t="s">
        <v>257</v>
      </c>
      <c r="H1" s="115" t="s">
        <v>258</v>
      </c>
      <c r="I1" s="115" t="s">
        <v>1261</v>
      </c>
    </row>
    <row r="2" spans="1:11" s="111" customFormat="1" ht="18" customHeight="1" x14ac:dyDescent="0.3">
      <c r="A2" s="110">
        <v>1</v>
      </c>
      <c r="B2" s="122" t="s">
        <v>1266</v>
      </c>
      <c r="C2" s="122" t="s">
        <v>1274</v>
      </c>
      <c r="D2" s="116" t="s">
        <v>379</v>
      </c>
      <c r="E2" s="123" t="s">
        <v>38</v>
      </c>
      <c r="F2" s="122">
        <v>462</v>
      </c>
      <c r="G2" s="116" t="s">
        <v>1354</v>
      </c>
      <c r="H2" s="116" t="s">
        <v>64</v>
      </c>
      <c r="I2" s="116" t="s">
        <v>204</v>
      </c>
      <c r="J2" s="121" t="s">
        <v>270</v>
      </c>
    </row>
    <row r="3" spans="1:11" s="111" customFormat="1" ht="18" customHeight="1" x14ac:dyDescent="0.3">
      <c r="A3" s="110">
        <v>2</v>
      </c>
      <c r="B3" s="122" t="s">
        <v>1266</v>
      </c>
      <c r="C3" s="122" t="s">
        <v>1275</v>
      </c>
      <c r="D3" s="116" t="s">
        <v>379</v>
      </c>
      <c r="E3" s="123" t="s">
        <v>38</v>
      </c>
      <c r="F3" s="122">
        <v>30</v>
      </c>
      <c r="G3" s="116" t="s">
        <v>1355</v>
      </c>
      <c r="H3" s="116" t="s">
        <v>64</v>
      </c>
      <c r="I3" s="116" t="s">
        <v>263</v>
      </c>
      <c r="J3" s="121" t="s">
        <v>270</v>
      </c>
      <c r="K3" s="120"/>
    </row>
    <row r="4" spans="1:11" s="111" customFormat="1" ht="18" customHeight="1" x14ac:dyDescent="0.3">
      <c r="A4" s="110">
        <v>3</v>
      </c>
      <c r="B4" s="122" t="s">
        <v>1266</v>
      </c>
      <c r="C4" s="122" t="s">
        <v>1276</v>
      </c>
      <c r="D4" s="116" t="s">
        <v>411</v>
      </c>
      <c r="E4" s="123" t="s">
        <v>41</v>
      </c>
      <c r="F4" s="124">
        <v>1000</v>
      </c>
      <c r="G4" s="116" t="s">
        <v>65</v>
      </c>
      <c r="H4" s="116" t="s">
        <v>575</v>
      </c>
      <c r="I4" s="116" t="s">
        <v>1050</v>
      </c>
      <c r="J4" s="121" t="s">
        <v>278</v>
      </c>
    </row>
    <row r="5" spans="1:11" s="111" customFormat="1" ht="18" customHeight="1" x14ac:dyDescent="0.3">
      <c r="A5" s="110">
        <v>4</v>
      </c>
      <c r="B5" s="122" t="s">
        <v>1266</v>
      </c>
      <c r="C5" s="122" t="s">
        <v>1277</v>
      </c>
      <c r="D5" s="116" t="s">
        <v>411</v>
      </c>
      <c r="E5" s="123" t="s">
        <v>41</v>
      </c>
      <c r="F5" s="124">
        <v>1000</v>
      </c>
      <c r="G5" s="116" t="s">
        <v>1253</v>
      </c>
      <c r="H5" s="116" t="s">
        <v>575</v>
      </c>
      <c r="I5" s="116" t="s">
        <v>1255</v>
      </c>
      <c r="J5" s="121" t="s">
        <v>270</v>
      </c>
    </row>
    <row r="6" spans="1:11" s="111" customFormat="1" ht="18" customHeight="1" x14ac:dyDescent="0.3">
      <c r="A6" s="110">
        <v>5</v>
      </c>
      <c r="B6" s="122" t="s">
        <v>1266</v>
      </c>
      <c r="C6" s="122" t="s">
        <v>1278</v>
      </c>
      <c r="D6" s="116" t="s">
        <v>264</v>
      </c>
      <c r="E6" s="123" t="s">
        <v>54</v>
      </c>
      <c r="F6" s="124">
        <v>200000</v>
      </c>
      <c r="G6" s="116" t="s">
        <v>67</v>
      </c>
      <c r="H6" s="116" t="s">
        <v>54</v>
      </c>
      <c r="I6" s="116" t="s">
        <v>54</v>
      </c>
      <c r="J6" s="121" t="s">
        <v>278</v>
      </c>
    </row>
    <row r="7" spans="1:11" s="111" customFormat="1" ht="18" customHeight="1" x14ac:dyDescent="0.3">
      <c r="A7" s="110">
        <v>6</v>
      </c>
      <c r="B7" s="122" t="s">
        <v>1266</v>
      </c>
      <c r="C7" s="122" t="s">
        <v>1279</v>
      </c>
      <c r="D7" s="116" t="s">
        <v>546</v>
      </c>
      <c r="E7" s="123" t="s">
        <v>43</v>
      </c>
      <c r="F7" s="124">
        <v>10000</v>
      </c>
      <c r="G7" s="116" t="s">
        <v>65</v>
      </c>
      <c r="H7" s="116" t="s">
        <v>1257</v>
      </c>
      <c r="I7" s="116" t="s">
        <v>104</v>
      </c>
      <c r="J7" s="121" t="s">
        <v>270</v>
      </c>
      <c r="K7" s="111">
        <v>10000</v>
      </c>
    </row>
    <row r="8" spans="1:11" s="111" customFormat="1" ht="18" customHeight="1" x14ac:dyDescent="0.3">
      <c r="A8" s="110">
        <v>7</v>
      </c>
      <c r="B8" s="122" t="s">
        <v>1266</v>
      </c>
      <c r="C8" s="122" t="s">
        <v>1280</v>
      </c>
      <c r="D8" s="116" t="s">
        <v>542</v>
      </c>
      <c r="E8" s="123" t="s">
        <v>220</v>
      </c>
      <c r="F8" s="124">
        <v>30000</v>
      </c>
      <c r="G8" s="116" t="s">
        <v>1356</v>
      </c>
      <c r="H8" s="116" t="s">
        <v>1257</v>
      </c>
      <c r="I8" s="116" t="s">
        <v>79</v>
      </c>
      <c r="J8" s="121" t="s">
        <v>270</v>
      </c>
      <c r="K8" s="111">
        <v>30000</v>
      </c>
    </row>
    <row r="9" spans="1:11" s="111" customFormat="1" ht="18" customHeight="1" x14ac:dyDescent="0.3">
      <c r="A9" s="110">
        <v>8</v>
      </c>
      <c r="B9" s="122" t="s">
        <v>1266</v>
      </c>
      <c r="C9" s="122" t="s">
        <v>1281</v>
      </c>
      <c r="D9" s="116" t="s">
        <v>546</v>
      </c>
      <c r="E9" s="123" t="s">
        <v>43</v>
      </c>
      <c r="F9" s="124">
        <v>10000</v>
      </c>
      <c r="G9" s="116" t="s">
        <v>1357</v>
      </c>
      <c r="H9" s="116" t="s">
        <v>1360</v>
      </c>
      <c r="I9" s="116" t="s">
        <v>1358</v>
      </c>
      <c r="J9" s="121" t="s">
        <v>270</v>
      </c>
    </row>
    <row r="10" spans="1:11" s="111" customFormat="1" ht="18" customHeight="1" x14ac:dyDescent="0.3">
      <c r="A10" s="110">
        <v>9</v>
      </c>
      <c r="B10" s="122" t="s">
        <v>1266</v>
      </c>
      <c r="C10" s="122" t="s">
        <v>1282</v>
      </c>
      <c r="D10" s="116" t="s">
        <v>384</v>
      </c>
      <c r="E10" s="123" t="s">
        <v>35</v>
      </c>
      <c r="F10" s="124">
        <v>5000</v>
      </c>
      <c r="G10" s="116" t="s">
        <v>1359</v>
      </c>
      <c r="H10" s="116" t="s">
        <v>1254</v>
      </c>
      <c r="I10" s="116" t="s">
        <v>587</v>
      </c>
      <c r="J10" s="121" t="s">
        <v>270</v>
      </c>
    </row>
    <row r="11" spans="1:11" s="111" customFormat="1" ht="18" customHeight="1" x14ac:dyDescent="0.3">
      <c r="A11" s="110">
        <v>10</v>
      </c>
      <c r="B11" s="122" t="s">
        <v>1266</v>
      </c>
      <c r="C11" s="122" t="s">
        <v>1283</v>
      </c>
      <c r="D11" s="116" t="s">
        <v>384</v>
      </c>
      <c r="E11" s="123" t="s">
        <v>35</v>
      </c>
      <c r="F11" s="124">
        <v>20000</v>
      </c>
      <c r="G11" s="116" t="s">
        <v>1393</v>
      </c>
      <c r="H11" s="116" t="s">
        <v>1257</v>
      </c>
      <c r="I11" s="116" t="s">
        <v>1394</v>
      </c>
      <c r="J11" s="121" t="s">
        <v>270</v>
      </c>
      <c r="K11" s="111">
        <v>20000</v>
      </c>
    </row>
    <row r="12" spans="1:11" s="111" customFormat="1" ht="18" customHeight="1" x14ac:dyDescent="0.3">
      <c r="A12" s="110">
        <v>11</v>
      </c>
      <c r="B12" s="122" t="s">
        <v>1266</v>
      </c>
      <c r="C12" s="122" t="s">
        <v>1284</v>
      </c>
      <c r="D12" s="116" t="s">
        <v>411</v>
      </c>
      <c r="E12" s="123" t="s">
        <v>41</v>
      </c>
      <c r="F12" s="124">
        <v>4500</v>
      </c>
      <c r="G12" s="116" t="s">
        <v>1253</v>
      </c>
      <c r="H12" s="116" t="s">
        <v>575</v>
      </c>
      <c r="I12" s="116" t="s">
        <v>1255</v>
      </c>
      <c r="J12" s="121" t="s">
        <v>270</v>
      </c>
    </row>
    <row r="13" spans="1:11" s="111" customFormat="1" ht="18" customHeight="1" x14ac:dyDescent="0.3">
      <c r="A13" s="110">
        <v>12</v>
      </c>
      <c r="B13" s="122" t="s">
        <v>1266</v>
      </c>
      <c r="C13" s="122" t="s">
        <v>1285</v>
      </c>
      <c r="D13" s="116" t="s">
        <v>411</v>
      </c>
      <c r="E13" s="123" t="s">
        <v>41</v>
      </c>
      <c r="F13" s="124">
        <v>1000</v>
      </c>
      <c r="G13" s="116" t="s">
        <v>1395</v>
      </c>
      <c r="H13" s="116" t="s">
        <v>575</v>
      </c>
      <c r="I13" s="116" t="s">
        <v>1050</v>
      </c>
      <c r="J13" s="121" t="s">
        <v>270</v>
      </c>
    </row>
    <row r="14" spans="1:11" s="111" customFormat="1" ht="18" customHeight="1" x14ac:dyDescent="0.3">
      <c r="A14" s="110">
        <v>13</v>
      </c>
      <c r="B14" s="122" t="s">
        <v>1266</v>
      </c>
      <c r="C14" s="122" t="s">
        <v>1286</v>
      </c>
      <c r="D14" s="116" t="s">
        <v>542</v>
      </c>
      <c r="E14" s="123" t="s">
        <v>220</v>
      </c>
      <c r="F14" s="122">
        <v>900</v>
      </c>
      <c r="G14" s="116" t="s">
        <v>1396</v>
      </c>
      <c r="H14" s="116" t="s">
        <v>1257</v>
      </c>
      <c r="I14" s="116" t="s">
        <v>81</v>
      </c>
      <c r="J14" s="121" t="s">
        <v>270</v>
      </c>
      <c r="K14" s="111">
        <v>900</v>
      </c>
    </row>
    <row r="15" spans="1:11" s="111" customFormat="1" ht="18" customHeight="1" x14ac:dyDescent="0.3">
      <c r="A15" s="110">
        <v>14</v>
      </c>
      <c r="B15" s="122" t="s">
        <v>1266</v>
      </c>
      <c r="C15" s="122" t="s">
        <v>1287</v>
      </c>
      <c r="D15" s="116" t="s">
        <v>542</v>
      </c>
      <c r="E15" s="123" t="s">
        <v>220</v>
      </c>
      <c r="F15" s="124">
        <v>7000</v>
      </c>
      <c r="G15" s="116" t="s">
        <v>1397</v>
      </c>
      <c r="H15" s="116" t="s">
        <v>1257</v>
      </c>
      <c r="I15" s="116" t="s">
        <v>1361</v>
      </c>
      <c r="J15" s="121" t="s">
        <v>270</v>
      </c>
      <c r="K15" s="111">
        <v>7000</v>
      </c>
    </row>
    <row r="16" spans="1:11" s="111" customFormat="1" ht="18" customHeight="1" x14ac:dyDescent="0.3">
      <c r="A16" s="110">
        <v>15</v>
      </c>
      <c r="B16" s="122" t="s">
        <v>1266</v>
      </c>
      <c r="C16" s="122" t="s">
        <v>1288</v>
      </c>
      <c r="D16" s="116" t="s">
        <v>542</v>
      </c>
      <c r="E16" s="123" t="s">
        <v>220</v>
      </c>
      <c r="F16" s="124">
        <v>1200</v>
      </c>
      <c r="G16" s="116" t="s">
        <v>1398</v>
      </c>
      <c r="H16" s="116" t="s">
        <v>1362</v>
      </c>
      <c r="I16" s="116" t="s">
        <v>81</v>
      </c>
      <c r="J16" s="121" t="s">
        <v>270</v>
      </c>
    </row>
    <row r="17" spans="1:11" s="111" customFormat="1" ht="18" customHeight="1" x14ac:dyDescent="0.3">
      <c r="A17" s="110">
        <v>16</v>
      </c>
      <c r="B17" s="122" t="s">
        <v>1266</v>
      </c>
      <c r="C17" s="122" t="s">
        <v>1289</v>
      </c>
      <c r="D17" s="116" t="s">
        <v>542</v>
      </c>
      <c r="E17" s="123" t="s">
        <v>220</v>
      </c>
      <c r="F17" s="124">
        <v>10400</v>
      </c>
      <c r="G17" s="116" t="s">
        <v>1399</v>
      </c>
      <c r="H17" s="116" t="s">
        <v>1363</v>
      </c>
      <c r="I17" s="116" t="s">
        <v>1252</v>
      </c>
      <c r="J17" s="121" t="s">
        <v>270</v>
      </c>
      <c r="K17" s="111">
        <f>F17/2</f>
        <v>5200</v>
      </c>
    </row>
    <row r="18" spans="1:11" s="111" customFormat="1" ht="18" customHeight="1" x14ac:dyDescent="0.3">
      <c r="A18" s="110">
        <v>17</v>
      </c>
      <c r="B18" s="122" t="s">
        <v>1266</v>
      </c>
      <c r="C18" s="122" t="s">
        <v>1290</v>
      </c>
      <c r="D18" s="116" t="s">
        <v>542</v>
      </c>
      <c r="E18" s="123" t="s">
        <v>220</v>
      </c>
      <c r="F18" s="124">
        <v>6600</v>
      </c>
      <c r="G18" s="116" t="s">
        <v>1400</v>
      </c>
      <c r="H18" s="116" t="s">
        <v>1364</v>
      </c>
      <c r="I18" s="116" t="s">
        <v>81</v>
      </c>
      <c r="J18" s="121" t="s">
        <v>270</v>
      </c>
      <c r="K18" s="111">
        <f>6600/2</f>
        <v>3300</v>
      </c>
    </row>
    <row r="19" spans="1:11" s="111" customFormat="1" ht="18" customHeight="1" x14ac:dyDescent="0.3">
      <c r="A19" s="110">
        <v>18</v>
      </c>
      <c r="B19" s="122" t="s">
        <v>1266</v>
      </c>
      <c r="C19" s="122" t="s">
        <v>1291</v>
      </c>
      <c r="D19" s="116" t="s">
        <v>542</v>
      </c>
      <c r="E19" s="123" t="s">
        <v>220</v>
      </c>
      <c r="F19" s="124">
        <v>6000</v>
      </c>
      <c r="G19" s="116" t="s">
        <v>1401</v>
      </c>
      <c r="H19" s="116" t="s">
        <v>1264</v>
      </c>
      <c r="I19" s="116" t="s">
        <v>89</v>
      </c>
      <c r="J19" s="121" t="s">
        <v>270</v>
      </c>
    </row>
    <row r="20" spans="1:11" s="111" customFormat="1" ht="18" customHeight="1" x14ac:dyDescent="0.3">
      <c r="A20" s="110">
        <v>19</v>
      </c>
      <c r="B20" s="122" t="s">
        <v>1266</v>
      </c>
      <c r="C20" s="122" t="s">
        <v>1292</v>
      </c>
      <c r="D20" s="116" t="s">
        <v>411</v>
      </c>
      <c r="E20" s="123" t="s">
        <v>41</v>
      </c>
      <c r="F20" s="124">
        <v>3400</v>
      </c>
      <c r="G20" s="116" t="s">
        <v>1402</v>
      </c>
      <c r="H20" s="116" t="s">
        <v>575</v>
      </c>
      <c r="I20" s="116" t="s">
        <v>498</v>
      </c>
      <c r="J20" s="121" t="s">
        <v>270</v>
      </c>
    </row>
    <row r="21" spans="1:11" s="111" customFormat="1" ht="18" customHeight="1" x14ac:dyDescent="0.3">
      <c r="A21" s="110">
        <v>20</v>
      </c>
      <c r="B21" s="122" t="s">
        <v>1266</v>
      </c>
      <c r="C21" s="122" t="s">
        <v>1293</v>
      </c>
      <c r="D21" s="116" t="s">
        <v>542</v>
      </c>
      <c r="E21" s="123" t="s">
        <v>220</v>
      </c>
      <c r="F21" s="124">
        <v>50000</v>
      </c>
      <c r="G21" s="116" t="s">
        <v>1403</v>
      </c>
      <c r="H21" s="116" t="s">
        <v>1254</v>
      </c>
      <c r="I21" s="116" t="s">
        <v>79</v>
      </c>
      <c r="J21" s="121" t="s">
        <v>270</v>
      </c>
      <c r="K21" s="111">
        <v>50000</v>
      </c>
    </row>
    <row r="22" spans="1:11" s="111" customFormat="1" ht="18" customHeight="1" x14ac:dyDescent="0.3">
      <c r="A22" s="110">
        <v>21</v>
      </c>
      <c r="B22" s="122" t="s">
        <v>1266</v>
      </c>
      <c r="C22" s="122" t="s">
        <v>1294</v>
      </c>
      <c r="D22" s="116" t="s">
        <v>546</v>
      </c>
      <c r="E22" s="123" t="s">
        <v>43</v>
      </c>
      <c r="F22" s="122">
        <v>250</v>
      </c>
      <c r="G22" s="116" t="s">
        <v>1404</v>
      </c>
      <c r="H22" s="116" t="s">
        <v>1264</v>
      </c>
      <c r="I22" s="116" t="s">
        <v>398</v>
      </c>
      <c r="J22" s="121" t="s">
        <v>270</v>
      </c>
    </row>
    <row r="23" spans="1:11" s="111" customFormat="1" ht="18" customHeight="1" x14ac:dyDescent="0.3">
      <c r="A23" s="110">
        <v>22</v>
      </c>
      <c r="B23" s="122" t="s">
        <v>1267</v>
      </c>
      <c r="C23" s="122" t="s">
        <v>1295</v>
      </c>
      <c r="D23" s="116" t="s">
        <v>546</v>
      </c>
      <c r="E23" s="123" t="s">
        <v>43</v>
      </c>
      <c r="F23" s="124">
        <v>10000</v>
      </c>
      <c r="G23" s="116" t="s">
        <v>1405</v>
      </c>
      <c r="H23" s="116" t="s">
        <v>1264</v>
      </c>
      <c r="I23" s="116" t="s">
        <v>1678</v>
      </c>
      <c r="J23" s="121" t="s">
        <v>270</v>
      </c>
    </row>
    <row r="24" spans="1:11" s="111" customFormat="1" ht="18" customHeight="1" x14ac:dyDescent="0.3">
      <c r="A24" s="110">
        <v>23</v>
      </c>
      <c r="B24" s="122" t="s">
        <v>1268</v>
      </c>
      <c r="C24" s="122" t="s">
        <v>1296</v>
      </c>
      <c r="D24" s="116" t="s">
        <v>411</v>
      </c>
      <c r="E24" s="123" t="s">
        <v>41</v>
      </c>
      <c r="F24" s="124">
        <v>4250</v>
      </c>
      <c r="G24" s="116" t="s">
        <v>1406</v>
      </c>
      <c r="H24" s="116" t="s">
        <v>575</v>
      </c>
      <c r="I24" s="116" t="s">
        <v>924</v>
      </c>
      <c r="J24" s="121" t="s">
        <v>270</v>
      </c>
    </row>
    <row r="25" spans="1:11" s="111" customFormat="1" ht="18" customHeight="1" x14ac:dyDescent="0.3">
      <c r="A25" s="110">
        <v>24</v>
      </c>
      <c r="B25" s="122" t="s">
        <v>1268</v>
      </c>
      <c r="C25" s="122" t="s">
        <v>1297</v>
      </c>
      <c r="D25" s="116" t="s">
        <v>411</v>
      </c>
      <c r="E25" s="123" t="s">
        <v>41</v>
      </c>
      <c r="F25" s="124">
        <v>2500</v>
      </c>
      <c r="G25" s="116" t="s">
        <v>221</v>
      </c>
      <c r="H25" s="116" t="s">
        <v>575</v>
      </c>
      <c r="I25" s="116" t="s">
        <v>1407</v>
      </c>
      <c r="J25" s="121" t="s">
        <v>270</v>
      </c>
    </row>
    <row r="26" spans="1:11" s="111" customFormat="1" ht="18" customHeight="1" x14ac:dyDescent="0.3">
      <c r="A26" s="110">
        <v>25</v>
      </c>
      <c r="B26" s="122" t="s">
        <v>1268</v>
      </c>
      <c r="C26" s="122" t="s">
        <v>1298</v>
      </c>
      <c r="D26" s="116" t="s">
        <v>411</v>
      </c>
      <c r="E26" s="123" t="s">
        <v>41</v>
      </c>
      <c r="F26" s="122">
        <v>640</v>
      </c>
      <c r="G26" s="116" t="s">
        <v>1408</v>
      </c>
      <c r="H26" s="116" t="s">
        <v>575</v>
      </c>
      <c r="I26" s="116" t="s">
        <v>1260</v>
      </c>
      <c r="J26" s="121" t="s">
        <v>270</v>
      </c>
    </row>
    <row r="27" spans="1:11" s="111" customFormat="1" ht="18" customHeight="1" x14ac:dyDescent="0.3">
      <c r="A27" s="110">
        <v>26</v>
      </c>
      <c r="B27" s="122" t="s">
        <v>1268</v>
      </c>
      <c r="C27" s="122" t="s">
        <v>1299</v>
      </c>
      <c r="D27" s="116" t="s">
        <v>542</v>
      </c>
      <c r="E27" s="123" t="s">
        <v>220</v>
      </c>
      <c r="F27" s="124">
        <v>6500</v>
      </c>
      <c r="G27" s="116" t="s">
        <v>1409</v>
      </c>
      <c r="H27" s="116" t="s">
        <v>1257</v>
      </c>
      <c r="I27" s="116" t="s">
        <v>1259</v>
      </c>
      <c r="J27" s="121" t="s">
        <v>270</v>
      </c>
      <c r="K27" s="111">
        <v>6500</v>
      </c>
    </row>
    <row r="28" spans="1:11" s="111" customFormat="1" ht="18" customHeight="1" x14ac:dyDescent="0.3">
      <c r="A28" s="110">
        <v>27</v>
      </c>
      <c r="B28" s="122" t="s">
        <v>1268</v>
      </c>
      <c r="C28" s="122" t="s">
        <v>1300</v>
      </c>
      <c r="D28" s="116" t="s">
        <v>379</v>
      </c>
      <c r="E28" s="123" t="s">
        <v>38</v>
      </c>
      <c r="F28" s="122">
        <v>300</v>
      </c>
      <c r="G28" s="116" t="s">
        <v>368</v>
      </c>
      <c r="H28" s="116" t="s">
        <v>64</v>
      </c>
      <c r="I28" s="116" t="s">
        <v>1365</v>
      </c>
      <c r="J28" s="121" t="s">
        <v>270</v>
      </c>
    </row>
    <row r="29" spans="1:11" s="111" customFormat="1" ht="18" customHeight="1" x14ac:dyDescent="0.3">
      <c r="A29" s="110">
        <v>28</v>
      </c>
      <c r="B29" s="122" t="s">
        <v>1268</v>
      </c>
      <c r="C29" s="122" t="s">
        <v>1301</v>
      </c>
      <c r="D29" s="116" t="s">
        <v>546</v>
      </c>
      <c r="E29" s="123" t="s">
        <v>43</v>
      </c>
      <c r="F29" s="124">
        <v>6160</v>
      </c>
      <c r="G29" s="116" t="s">
        <v>1410</v>
      </c>
      <c r="H29" s="116" t="s">
        <v>1366</v>
      </c>
      <c r="I29" s="116" t="s">
        <v>587</v>
      </c>
      <c r="J29" s="121" t="s">
        <v>270</v>
      </c>
    </row>
    <row r="30" spans="1:11" s="111" customFormat="1" ht="18" customHeight="1" x14ac:dyDescent="0.3">
      <c r="A30" s="110">
        <v>29</v>
      </c>
      <c r="B30" s="122" t="s">
        <v>1268</v>
      </c>
      <c r="C30" s="122" t="s">
        <v>1302</v>
      </c>
      <c r="D30" s="116" t="s">
        <v>546</v>
      </c>
      <c r="E30" s="123" t="s">
        <v>43</v>
      </c>
      <c r="F30" s="124">
        <v>1560</v>
      </c>
      <c r="G30" s="116" t="s">
        <v>1411</v>
      </c>
      <c r="H30" s="116" t="s">
        <v>1367</v>
      </c>
      <c r="I30" s="116" t="s">
        <v>1412</v>
      </c>
      <c r="J30" s="121" t="s">
        <v>270</v>
      </c>
      <c r="K30" s="111">
        <v>1560</v>
      </c>
    </row>
    <row r="31" spans="1:11" s="111" customFormat="1" ht="18" customHeight="1" x14ac:dyDescent="0.3">
      <c r="A31" s="110">
        <v>30</v>
      </c>
      <c r="B31" s="122" t="s">
        <v>1268</v>
      </c>
      <c r="C31" s="122" t="s">
        <v>1303</v>
      </c>
      <c r="D31" s="116" t="s">
        <v>264</v>
      </c>
      <c r="E31" s="123" t="s">
        <v>54</v>
      </c>
      <c r="F31" s="124">
        <v>100000</v>
      </c>
      <c r="G31" s="116" t="s">
        <v>67</v>
      </c>
      <c r="H31" s="116" t="s">
        <v>54</v>
      </c>
      <c r="I31" s="116" t="s">
        <v>54</v>
      </c>
      <c r="J31" s="121" t="s">
        <v>278</v>
      </c>
    </row>
    <row r="32" spans="1:11" s="111" customFormat="1" ht="18" customHeight="1" x14ac:dyDescent="0.3">
      <c r="A32" s="110">
        <v>31</v>
      </c>
      <c r="B32" s="122" t="s">
        <v>1268</v>
      </c>
      <c r="C32" s="122" t="s">
        <v>1304</v>
      </c>
      <c r="D32" s="116" t="s">
        <v>379</v>
      </c>
      <c r="E32" s="123" t="s">
        <v>38</v>
      </c>
      <c r="F32" s="124">
        <v>100000</v>
      </c>
      <c r="G32" s="116" t="s">
        <v>1413</v>
      </c>
      <c r="H32" s="116" t="s">
        <v>64</v>
      </c>
      <c r="I32" s="116" t="s">
        <v>1368</v>
      </c>
      <c r="J32" s="121" t="s">
        <v>270</v>
      </c>
    </row>
    <row r="33" spans="1:11" s="111" customFormat="1" ht="18" customHeight="1" x14ac:dyDescent="0.3">
      <c r="A33" s="110">
        <v>32</v>
      </c>
      <c r="B33" s="122" t="s">
        <v>1268</v>
      </c>
      <c r="C33" s="122" t="s">
        <v>1305</v>
      </c>
      <c r="D33" s="116" t="s">
        <v>542</v>
      </c>
      <c r="E33" s="123" t="s">
        <v>220</v>
      </c>
      <c r="F33" s="122">
        <v>900</v>
      </c>
      <c r="G33" s="116" t="s">
        <v>1414</v>
      </c>
      <c r="H33" s="116" t="s">
        <v>1369</v>
      </c>
      <c r="I33" s="116" t="s">
        <v>81</v>
      </c>
      <c r="J33" s="121" t="s">
        <v>270</v>
      </c>
    </row>
    <row r="34" spans="1:11" s="111" customFormat="1" ht="18" customHeight="1" x14ac:dyDescent="0.3">
      <c r="A34" s="110">
        <v>33</v>
      </c>
      <c r="B34" s="122" t="s">
        <v>1268</v>
      </c>
      <c r="C34" s="122" t="s">
        <v>1306</v>
      </c>
      <c r="D34" s="116" t="s">
        <v>264</v>
      </c>
      <c r="E34" s="123" t="s">
        <v>54</v>
      </c>
      <c r="F34" s="124">
        <v>5000</v>
      </c>
      <c r="G34" s="116" t="s">
        <v>67</v>
      </c>
      <c r="H34" s="116" t="s">
        <v>54</v>
      </c>
      <c r="I34" s="116" t="s">
        <v>54</v>
      </c>
      <c r="J34" s="121" t="s">
        <v>278</v>
      </c>
    </row>
    <row r="35" spans="1:11" s="111" customFormat="1" ht="18" customHeight="1" x14ac:dyDescent="0.3">
      <c r="A35" s="110">
        <v>34</v>
      </c>
      <c r="B35" s="122" t="s">
        <v>1268</v>
      </c>
      <c r="C35" s="122" t="s">
        <v>1307</v>
      </c>
      <c r="D35" s="116" t="s">
        <v>546</v>
      </c>
      <c r="E35" s="123" t="s">
        <v>43</v>
      </c>
      <c r="F35" s="124">
        <v>5000</v>
      </c>
      <c r="G35" s="116" t="s">
        <v>1405</v>
      </c>
      <c r="H35" s="116" t="s">
        <v>1370</v>
      </c>
      <c r="I35" s="116" t="s">
        <v>1255</v>
      </c>
      <c r="J35" s="121" t="s">
        <v>270</v>
      </c>
    </row>
    <row r="36" spans="1:11" s="111" customFormat="1" ht="18" customHeight="1" x14ac:dyDescent="0.3">
      <c r="A36" s="110">
        <v>35</v>
      </c>
      <c r="B36" s="122" t="s">
        <v>1269</v>
      </c>
      <c r="C36" s="122" t="s">
        <v>1308</v>
      </c>
      <c r="D36" s="116" t="s">
        <v>411</v>
      </c>
      <c r="E36" s="123" t="s">
        <v>41</v>
      </c>
      <c r="F36" s="122">
        <v>500</v>
      </c>
      <c r="G36" s="116" t="s">
        <v>12</v>
      </c>
      <c r="H36" s="116" t="s">
        <v>575</v>
      </c>
      <c r="I36" s="116" t="s">
        <v>12</v>
      </c>
      <c r="J36" s="121" t="s">
        <v>270</v>
      </c>
    </row>
    <row r="37" spans="1:11" s="111" customFormat="1" ht="18" customHeight="1" x14ac:dyDescent="0.3">
      <c r="A37" s="110">
        <v>36</v>
      </c>
      <c r="B37" s="122" t="s">
        <v>1269</v>
      </c>
      <c r="C37" s="122" t="s">
        <v>1309</v>
      </c>
      <c r="D37" s="116" t="s">
        <v>379</v>
      </c>
      <c r="E37" s="123" t="s">
        <v>38</v>
      </c>
      <c r="F37" s="122">
        <v>33</v>
      </c>
      <c r="G37" s="109" t="s">
        <v>1415</v>
      </c>
      <c r="H37" s="116" t="s">
        <v>64</v>
      </c>
      <c r="I37" s="116" t="s">
        <v>263</v>
      </c>
      <c r="J37" s="121" t="s">
        <v>270</v>
      </c>
    </row>
    <row r="38" spans="1:11" s="111" customFormat="1" ht="18" customHeight="1" x14ac:dyDescent="0.3">
      <c r="A38" s="110">
        <v>37</v>
      </c>
      <c r="B38" s="122" t="s">
        <v>1269</v>
      </c>
      <c r="C38" s="122" t="s">
        <v>1310</v>
      </c>
      <c r="D38" s="116" t="s">
        <v>546</v>
      </c>
      <c r="E38" s="123" t="s">
        <v>43</v>
      </c>
      <c r="F38" s="122">
        <v>800</v>
      </c>
      <c r="G38" s="116" t="s">
        <v>1357</v>
      </c>
      <c r="H38" s="116" t="s">
        <v>1366</v>
      </c>
      <c r="I38" s="116" t="s">
        <v>1258</v>
      </c>
      <c r="J38" s="121" t="s">
        <v>270</v>
      </c>
    </row>
    <row r="39" spans="1:11" s="111" customFormat="1" ht="18" customHeight="1" x14ac:dyDescent="0.3">
      <c r="A39" s="110">
        <v>38</v>
      </c>
      <c r="B39" s="122" t="s">
        <v>1269</v>
      </c>
      <c r="C39" s="122" t="s">
        <v>1311</v>
      </c>
      <c r="D39" s="116" t="s">
        <v>379</v>
      </c>
      <c r="E39" s="123" t="s">
        <v>38</v>
      </c>
      <c r="F39" s="122">
        <v>100</v>
      </c>
      <c r="G39" s="116" t="s">
        <v>65</v>
      </c>
      <c r="H39" s="116" t="s">
        <v>64</v>
      </c>
      <c r="I39" s="116" t="s">
        <v>204</v>
      </c>
      <c r="J39" s="121" t="s">
        <v>278</v>
      </c>
    </row>
    <row r="40" spans="1:11" s="111" customFormat="1" ht="18" customHeight="1" x14ac:dyDescent="0.3">
      <c r="A40" s="110">
        <v>39</v>
      </c>
      <c r="B40" s="122" t="s">
        <v>1269</v>
      </c>
      <c r="C40" s="122" t="s">
        <v>1312</v>
      </c>
      <c r="D40" s="116" t="s">
        <v>411</v>
      </c>
      <c r="E40" s="123" t="s">
        <v>41</v>
      </c>
      <c r="F40" s="122">
        <v>250</v>
      </c>
      <c r="G40" s="116" t="s">
        <v>1416</v>
      </c>
      <c r="H40" s="116" t="s">
        <v>575</v>
      </c>
      <c r="I40" s="116" t="s">
        <v>1371</v>
      </c>
      <c r="J40" s="121" t="s">
        <v>270</v>
      </c>
    </row>
    <row r="41" spans="1:11" s="111" customFormat="1" ht="18" customHeight="1" x14ac:dyDescent="0.3">
      <c r="A41" s="110">
        <v>40</v>
      </c>
      <c r="B41" s="122" t="s">
        <v>1269</v>
      </c>
      <c r="C41" s="122" t="s">
        <v>1313</v>
      </c>
      <c r="D41" s="116" t="s">
        <v>264</v>
      </c>
      <c r="E41" s="123" t="s">
        <v>54</v>
      </c>
      <c r="F41" s="124">
        <v>10000</v>
      </c>
      <c r="G41" s="116" t="s">
        <v>67</v>
      </c>
      <c r="H41" s="116" t="s">
        <v>54</v>
      </c>
      <c r="I41" s="116" t="s">
        <v>54</v>
      </c>
      <c r="J41" s="121" t="s">
        <v>278</v>
      </c>
    </row>
    <row r="42" spans="1:11" s="111" customFormat="1" ht="18" customHeight="1" x14ac:dyDescent="0.3">
      <c r="A42" s="110">
        <v>41</v>
      </c>
      <c r="B42" s="122" t="s">
        <v>1269</v>
      </c>
      <c r="C42" s="122" t="s">
        <v>1314</v>
      </c>
      <c r="D42" s="116" t="s">
        <v>542</v>
      </c>
      <c r="E42" s="123" t="s">
        <v>220</v>
      </c>
      <c r="F42" s="124">
        <v>5000</v>
      </c>
      <c r="G42" s="116" t="s">
        <v>65</v>
      </c>
      <c r="H42" s="116" t="s">
        <v>1372</v>
      </c>
      <c r="I42" s="116" t="s">
        <v>1373</v>
      </c>
      <c r="J42" s="121" t="s">
        <v>270</v>
      </c>
      <c r="K42" s="111">
        <v>5000</v>
      </c>
    </row>
    <row r="43" spans="1:11" s="111" customFormat="1" ht="18" customHeight="1" x14ac:dyDescent="0.3">
      <c r="A43" s="110">
        <v>42</v>
      </c>
      <c r="B43" s="122" t="s">
        <v>1270</v>
      </c>
      <c r="C43" s="122" t="s">
        <v>1315</v>
      </c>
      <c r="D43" s="116" t="s">
        <v>379</v>
      </c>
      <c r="E43" s="123" t="s">
        <v>38</v>
      </c>
      <c r="F43" s="122">
        <v>450.9</v>
      </c>
      <c r="G43" s="116" t="s">
        <v>1415</v>
      </c>
      <c r="H43" s="116" t="s">
        <v>64</v>
      </c>
      <c r="I43" s="116" t="s">
        <v>152</v>
      </c>
      <c r="J43" s="121" t="s">
        <v>270</v>
      </c>
    </row>
    <row r="44" spans="1:11" s="111" customFormat="1" ht="18" customHeight="1" x14ac:dyDescent="0.3">
      <c r="A44" s="110">
        <v>43</v>
      </c>
      <c r="B44" s="122" t="s">
        <v>1270</v>
      </c>
      <c r="C44" s="122" t="s">
        <v>1316</v>
      </c>
      <c r="D44" s="116" t="s">
        <v>379</v>
      </c>
      <c r="E44" s="123" t="s">
        <v>38</v>
      </c>
      <c r="F44" s="122">
        <v>108.9</v>
      </c>
      <c r="G44" s="116" t="s">
        <v>1415</v>
      </c>
      <c r="H44" s="116" t="s">
        <v>64</v>
      </c>
      <c r="I44" s="116" t="s">
        <v>152</v>
      </c>
      <c r="J44" s="121" t="s">
        <v>270</v>
      </c>
    </row>
    <row r="45" spans="1:11" s="111" customFormat="1" ht="18" customHeight="1" x14ac:dyDescent="0.3">
      <c r="A45" s="110">
        <v>44</v>
      </c>
      <c r="B45" s="122" t="s">
        <v>1270</v>
      </c>
      <c r="C45" s="122" t="s">
        <v>1317</v>
      </c>
      <c r="D45" s="116" t="s">
        <v>546</v>
      </c>
      <c r="E45" s="123" t="s">
        <v>43</v>
      </c>
      <c r="F45" s="122">
        <v>500</v>
      </c>
      <c r="G45" s="116" t="s">
        <v>17</v>
      </c>
      <c r="H45" s="116" t="s">
        <v>1264</v>
      </c>
      <c r="I45" s="116" t="s">
        <v>1062</v>
      </c>
      <c r="J45" s="121" t="s">
        <v>270</v>
      </c>
    </row>
    <row r="46" spans="1:11" s="111" customFormat="1" ht="18" customHeight="1" x14ac:dyDescent="0.3">
      <c r="A46" s="110">
        <v>45</v>
      </c>
      <c r="B46" s="122" t="s">
        <v>1270</v>
      </c>
      <c r="C46" s="122" t="s">
        <v>1318</v>
      </c>
      <c r="D46" s="116" t="s">
        <v>264</v>
      </c>
      <c r="E46" s="123" t="s">
        <v>54</v>
      </c>
      <c r="F46" s="124">
        <v>5000</v>
      </c>
      <c r="G46" s="116" t="s">
        <v>67</v>
      </c>
      <c r="H46" s="116" t="s">
        <v>54</v>
      </c>
      <c r="I46" s="116" t="s">
        <v>54</v>
      </c>
      <c r="J46" s="121" t="s">
        <v>278</v>
      </c>
    </row>
    <row r="47" spans="1:11" s="111" customFormat="1" ht="18" customHeight="1" x14ac:dyDescent="0.3">
      <c r="A47" s="110">
        <v>46</v>
      </c>
      <c r="B47" s="122" t="s">
        <v>1270</v>
      </c>
      <c r="C47" s="122" t="s">
        <v>1319</v>
      </c>
      <c r="D47" s="116" t="s">
        <v>264</v>
      </c>
      <c r="E47" s="123" t="s">
        <v>54</v>
      </c>
      <c r="F47" s="124">
        <v>300000</v>
      </c>
      <c r="G47" s="116" t="s">
        <v>67</v>
      </c>
      <c r="H47" s="116" t="s">
        <v>54</v>
      </c>
      <c r="I47" s="116" t="s">
        <v>54</v>
      </c>
      <c r="J47" s="121" t="s">
        <v>278</v>
      </c>
      <c r="K47" s="120"/>
    </row>
    <row r="48" spans="1:11" s="111" customFormat="1" ht="18" customHeight="1" x14ac:dyDescent="0.3">
      <c r="A48" s="110">
        <v>47</v>
      </c>
      <c r="B48" s="122" t="s">
        <v>1270</v>
      </c>
      <c r="C48" s="122" t="s">
        <v>1320</v>
      </c>
      <c r="D48" s="116" t="s">
        <v>379</v>
      </c>
      <c r="E48" s="123" t="s">
        <v>38</v>
      </c>
      <c r="F48" s="124">
        <v>4275</v>
      </c>
      <c r="G48" s="116" t="s">
        <v>1417</v>
      </c>
      <c r="H48" s="116" t="s">
        <v>64</v>
      </c>
      <c r="I48" s="116" t="s">
        <v>1374</v>
      </c>
      <c r="J48" s="121" t="s">
        <v>270</v>
      </c>
    </row>
    <row r="49" spans="1:11" s="111" customFormat="1" ht="18" customHeight="1" x14ac:dyDescent="0.3">
      <c r="A49" s="110">
        <v>48</v>
      </c>
      <c r="B49" s="122" t="s">
        <v>1270</v>
      </c>
      <c r="C49" s="122" t="s">
        <v>1321</v>
      </c>
      <c r="D49" s="116" t="s">
        <v>546</v>
      </c>
      <c r="E49" s="123" t="s">
        <v>43</v>
      </c>
      <c r="F49" s="124">
        <v>2000</v>
      </c>
      <c r="G49" s="116" t="s">
        <v>12</v>
      </c>
      <c r="H49" s="116" t="s">
        <v>1257</v>
      </c>
      <c r="I49" s="116" t="s">
        <v>1375</v>
      </c>
      <c r="J49" s="121" t="s">
        <v>270</v>
      </c>
      <c r="K49" s="111">
        <v>2000</v>
      </c>
    </row>
    <row r="50" spans="1:11" s="111" customFormat="1" ht="18" customHeight="1" x14ac:dyDescent="0.3">
      <c r="A50" s="110">
        <v>49</v>
      </c>
      <c r="B50" s="122" t="s">
        <v>1270</v>
      </c>
      <c r="C50" s="122" t="s">
        <v>1322</v>
      </c>
      <c r="D50" s="116" t="s">
        <v>542</v>
      </c>
      <c r="E50" s="123" t="s">
        <v>220</v>
      </c>
      <c r="F50" s="124">
        <v>300000</v>
      </c>
      <c r="G50" s="116" t="s">
        <v>1418</v>
      </c>
      <c r="H50" s="116" t="s">
        <v>1377</v>
      </c>
      <c r="I50" s="116" t="s">
        <v>1376</v>
      </c>
      <c r="J50" s="121" t="s">
        <v>270</v>
      </c>
    </row>
    <row r="51" spans="1:11" s="111" customFormat="1" ht="18" customHeight="1" x14ac:dyDescent="0.3">
      <c r="A51" s="110">
        <v>50</v>
      </c>
      <c r="B51" s="122" t="s">
        <v>1270</v>
      </c>
      <c r="C51" s="122" t="s">
        <v>1323</v>
      </c>
      <c r="D51" s="116" t="s">
        <v>264</v>
      </c>
      <c r="E51" s="123" t="s">
        <v>54</v>
      </c>
      <c r="F51" s="124">
        <v>40000</v>
      </c>
      <c r="G51" s="116" t="s">
        <v>67</v>
      </c>
      <c r="H51" s="116" t="s">
        <v>54</v>
      </c>
      <c r="I51" s="116" t="s">
        <v>54</v>
      </c>
      <c r="J51" s="121" t="s">
        <v>278</v>
      </c>
    </row>
    <row r="52" spans="1:11" s="111" customFormat="1" ht="18" customHeight="1" x14ac:dyDescent="0.3">
      <c r="A52" s="110">
        <v>51</v>
      </c>
      <c r="B52" s="122" t="s">
        <v>1270</v>
      </c>
      <c r="C52" s="122" t="s">
        <v>1324</v>
      </c>
      <c r="D52" s="116" t="s">
        <v>379</v>
      </c>
      <c r="E52" s="123" t="s">
        <v>38</v>
      </c>
      <c r="F52" s="124">
        <v>15000</v>
      </c>
      <c r="G52" s="116" t="s">
        <v>1419</v>
      </c>
      <c r="H52" s="116" t="s">
        <v>64</v>
      </c>
      <c r="I52" s="116" t="s">
        <v>1378</v>
      </c>
      <c r="J52" s="121" t="s">
        <v>270</v>
      </c>
    </row>
    <row r="53" spans="1:11" s="111" customFormat="1" ht="18" customHeight="1" x14ac:dyDescent="0.3">
      <c r="A53" s="110">
        <v>52</v>
      </c>
      <c r="B53" s="122" t="s">
        <v>1270</v>
      </c>
      <c r="C53" s="122" t="s">
        <v>1325</v>
      </c>
      <c r="D53" s="116" t="s">
        <v>546</v>
      </c>
      <c r="E53" s="123" t="s">
        <v>43</v>
      </c>
      <c r="F53" s="124">
        <v>25000</v>
      </c>
      <c r="G53" s="116" t="s">
        <v>1420</v>
      </c>
      <c r="H53" s="116" t="s">
        <v>64</v>
      </c>
      <c r="I53" s="116" t="s">
        <v>1379</v>
      </c>
      <c r="J53" s="121" t="s">
        <v>270</v>
      </c>
    </row>
    <row r="54" spans="1:11" s="111" customFormat="1" ht="18" customHeight="1" x14ac:dyDescent="0.3">
      <c r="A54" s="110">
        <v>53</v>
      </c>
      <c r="B54" s="122" t="s">
        <v>1271</v>
      </c>
      <c r="C54" s="122" t="s">
        <v>1326</v>
      </c>
      <c r="D54" s="116" t="s">
        <v>546</v>
      </c>
      <c r="E54" s="123" t="s">
        <v>43</v>
      </c>
      <c r="F54" s="124">
        <v>1000</v>
      </c>
      <c r="G54" s="116" t="s">
        <v>1421</v>
      </c>
      <c r="H54" s="116" t="s">
        <v>1265</v>
      </c>
      <c r="I54" s="116" t="s">
        <v>378</v>
      </c>
      <c r="J54" s="121" t="s">
        <v>270</v>
      </c>
    </row>
    <row r="55" spans="1:11" s="111" customFormat="1" ht="18" customHeight="1" x14ac:dyDescent="0.3">
      <c r="A55" s="110">
        <v>54</v>
      </c>
      <c r="B55" s="122" t="s">
        <v>1271</v>
      </c>
      <c r="C55" s="122" t="s">
        <v>1327</v>
      </c>
      <c r="D55" s="116" t="s">
        <v>379</v>
      </c>
      <c r="E55" s="123" t="s">
        <v>38</v>
      </c>
      <c r="F55" s="122">
        <v>250</v>
      </c>
      <c r="G55" s="116" t="s">
        <v>99</v>
      </c>
      <c r="H55" s="116" t="s">
        <v>64</v>
      </c>
      <c r="I55" s="116" t="s">
        <v>924</v>
      </c>
      <c r="J55" s="121" t="s">
        <v>270</v>
      </c>
    </row>
    <row r="56" spans="1:11" s="111" customFormat="1" ht="18" customHeight="1" x14ac:dyDescent="0.3">
      <c r="A56" s="110">
        <v>55</v>
      </c>
      <c r="B56" s="122" t="s">
        <v>1271</v>
      </c>
      <c r="C56" s="122" t="s">
        <v>1328</v>
      </c>
      <c r="D56" s="116" t="s">
        <v>379</v>
      </c>
      <c r="E56" s="123" t="s">
        <v>38</v>
      </c>
      <c r="F56" s="122">
        <v>280</v>
      </c>
      <c r="G56" s="116" t="s">
        <v>64</v>
      </c>
      <c r="H56" s="116" t="s">
        <v>64</v>
      </c>
      <c r="I56" s="116" t="s">
        <v>1380</v>
      </c>
      <c r="J56" s="121" t="s">
        <v>270</v>
      </c>
    </row>
    <row r="57" spans="1:11" s="111" customFormat="1" ht="18" customHeight="1" x14ac:dyDescent="0.3">
      <c r="A57" s="110">
        <v>56</v>
      </c>
      <c r="B57" s="122" t="s">
        <v>1271</v>
      </c>
      <c r="C57" s="122" t="s">
        <v>1329</v>
      </c>
      <c r="D57" s="116" t="s">
        <v>264</v>
      </c>
      <c r="E57" s="123" t="s">
        <v>54</v>
      </c>
      <c r="F57" s="124">
        <v>25000</v>
      </c>
      <c r="G57" s="116" t="s">
        <v>67</v>
      </c>
      <c r="H57" s="116" t="s">
        <v>54</v>
      </c>
      <c r="I57" s="116" t="s">
        <v>54</v>
      </c>
      <c r="J57" s="121" t="s">
        <v>278</v>
      </c>
    </row>
    <row r="58" spans="1:11" s="111" customFormat="1" ht="18" customHeight="1" x14ac:dyDescent="0.3">
      <c r="A58" s="110">
        <v>57</v>
      </c>
      <c r="B58" s="122" t="s">
        <v>1271</v>
      </c>
      <c r="C58" s="122" t="s">
        <v>1330</v>
      </c>
      <c r="D58" s="116" t="s">
        <v>546</v>
      </c>
      <c r="E58" s="123" t="s">
        <v>43</v>
      </c>
      <c r="F58" s="124">
        <v>5000</v>
      </c>
      <c r="G58" s="116" t="s">
        <v>1405</v>
      </c>
      <c r="H58" s="116" t="s">
        <v>1381</v>
      </c>
      <c r="I58" s="116" t="s">
        <v>104</v>
      </c>
      <c r="J58" s="121" t="s">
        <v>270</v>
      </c>
    </row>
    <row r="59" spans="1:11" s="111" customFormat="1" ht="18" customHeight="1" x14ac:dyDescent="0.3">
      <c r="A59" s="110">
        <v>58</v>
      </c>
      <c r="B59" s="122" t="s">
        <v>1271</v>
      </c>
      <c r="C59" s="122" t="s">
        <v>1331</v>
      </c>
      <c r="D59" s="116" t="s">
        <v>546</v>
      </c>
      <c r="E59" s="123" t="s">
        <v>43</v>
      </c>
      <c r="F59" s="124">
        <v>1000</v>
      </c>
      <c r="G59" s="116" t="s">
        <v>12</v>
      </c>
      <c r="H59" s="116" t="s">
        <v>1257</v>
      </c>
      <c r="I59" s="116" t="s">
        <v>1382</v>
      </c>
      <c r="J59" s="121" t="s">
        <v>270</v>
      </c>
      <c r="K59" s="111">
        <v>1000</v>
      </c>
    </row>
    <row r="60" spans="1:11" s="111" customFormat="1" ht="18" customHeight="1" x14ac:dyDescent="0.3">
      <c r="A60" s="110">
        <v>59</v>
      </c>
      <c r="B60" s="122" t="s">
        <v>1271</v>
      </c>
      <c r="C60" s="122" t="s">
        <v>1332</v>
      </c>
      <c r="D60" s="116" t="s">
        <v>542</v>
      </c>
      <c r="E60" s="123" t="s">
        <v>220</v>
      </c>
      <c r="F60" s="124">
        <v>20000</v>
      </c>
      <c r="G60" s="116" t="s">
        <v>1422</v>
      </c>
      <c r="H60" s="116" t="s">
        <v>1257</v>
      </c>
      <c r="I60" s="116" t="s">
        <v>1259</v>
      </c>
      <c r="J60" s="121" t="s">
        <v>270</v>
      </c>
      <c r="K60" s="111">
        <v>20000</v>
      </c>
    </row>
    <row r="61" spans="1:11" s="111" customFormat="1" ht="18" customHeight="1" x14ac:dyDescent="0.3">
      <c r="A61" s="110">
        <v>60</v>
      </c>
      <c r="B61" s="122" t="s">
        <v>1272</v>
      </c>
      <c r="C61" s="122" t="s">
        <v>1333</v>
      </c>
      <c r="D61" s="116" t="s">
        <v>379</v>
      </c>
      <c r="E61" s="123" t="s">
        <v>38</v>
      </c>
      <c r="F61" s="122">
        <v>200</v>
      </c>
      <c r="G61" s="116" t="s">
        <v>1423</v>
      </c>
      <c r="H61" s="116" t="s">
        <v>64</v>
      </c>
      <c r="I61" s="116" t="s">
        <v>417</v>
      </c>
      <c r="J61" s="121" t="s">
        <v>270</v>
      </c>
    </row>
    <row r="62" spans="1:11" s="111" customFormat="1" ht="18" customHeight="1" x14ac:dyDescent="0.3">
      <c r="A62" s="110">
        <v>61</v>
      </c>
      <c r="B62" s="122" t="s">
        <v>1272</v>
      </c>
      <c r="C62" s="122" t="s">
        <v>1334</v>
      </c>
      <c r="D62" s="116" t="s">
        <v>264</v>
      </c>
      <c r="E62" s="123" t="s">
        <v>54</v>
      </c>
      <c r="F62" s="124">
        <v>190000</v>
      </c>
      <c r="G62" s="116" t="s">
        <v>67</v>
      </c>
      <c r="H62" s="116" t="s">
        <v>54</v>
      </c>
      <c r="I62" s="116" t="s">
        <v>54</v>
      </c>
      <c r="J62" s="121" t="s">
        <v>278</v>
      </c>
    </row>
    <row r="63" spans="1:11" s="111" customFormat="1" ht="18" customHeight="1" x14ac:dyDescent="0.3">
      <c r="A63" s="110">
        <v>62</v>
      </c>
      <c r="B63" s="122" t="s">
        <v>1272</v>
      </c>
      <c r="C63" s="122" t="s">
        <v>1335</v>
      </c>
      <c r="D63" s="116" t="s">
        <v>379</v>
      </c>
      <c r="E63" s="123" t="s">
        <v>38</v>
      </c>
      <c r="F63" s="122">
        <v>10</v>
      </c>
      <c r="G63" s="116" t="s">
        <v>69</v>
      </c>
      <c r="H63" s="116" t="s">
        <v>64</v>
      </c>
      <c r="I63" s="116" t="s">
        <v>1383</v>
      </c>
      <c r="J63" s="121" t="s">
        <v>270</v>
      </c>
    </row>
    <row r="64" spans="1:11" s="111" customFormat="1" ht="18" customHeight="1" x14ac:dyDescent="0.3">
      <c r="A64" s="110">
        <v>63</v>
      </c>
      <c r="B64" s="122" t="s">
        <v>1272</v>
      </c>
      <c r="C64" s="122" t="s">
        <v>1336</v>
      </c>
      <c r="D64" s="116" t="s">
        <v>379</v>
      </c>
      <c r="E64" s="123" t="s">
        <v>38</v>
      </c>
      <c r="F64" s="124">
        <v>25000</v>
      </c>
      <c r="G64" s="116" t="s">
        <v>69</v>
      </c>
      <c r="H64" s="116" t="s">
        <v>64</v>
      </c>
      <c r="I64" s="116" t="s">
        <v>1383</v>
      </c>
      <c r="J64" s="121" t="s">
        <v>270</v>
      </c>
    </row>
    <row r="65" spans="1:11" s="111" customFormat="1" ht="18" customHeight="1" x14ac:dyDescent="0.3">
      <c r="A65" s="110">
        <v>64</v>
      </c>
      <c r="B65" s="122" t="s">
        <v>1272</v>
      </c>
      <c r="C65" s="122" t="s">
        <v>1337</v>
      </c>
      <c r="D65" s="116" t="s">
        <v>542</v>
      </c>
      <c r="E65" s="123" t="s">
        <v>220</v>
      </c>
      <c r="F65" s="124">
        <v>75000</v>
      </c>
      <c r="G65" s="116" t="s">
        <v>1424</v>
      </c>
      <c r="H65" s="116" t="s">
        <v>1265</v>
      </c>
      <c r="I65" s="116" t="s">
        <v>79</v>
      </c>
      <c r="J65" s="121" t="s">
        <v>270</v>
      </c>
    </row>
    <row r="66" spans="1:11" s="111" customFormat="1" ht="18" customHeight="1" x14ac:dyDescent="0.3">
      <c r="A66" s="110">
        <v>65</v>
      </c>
      <c r="B66" s="122" t="s">
        <v>1272</v>
      </c>
      <c r="C66" s="122" t="s">
        <v>1338</v>
      </c>
      <c r="D66" s="116" t="s">
        <v>546</v>
      </c>
      <c r="E66" s="123" t="s">
        <v>43</v>
      </c>
      <c r="F66" s="124">
        <v>20000</v>
      </c>
      <c r="G66" s="116" t="s">
        <v>1357</v>
      </c>
      <c r="H66" s="116" t="s">
        <v>1264</v>
      </c>
      <c r="I66" s="116" t="s">
        <v>104</v>
      </c>
      <c r="J66" s="121" t="s">
        <v>270</v>
      </c>
    </row>
    <row r="67" spans="1:11" s="111" customFormat="1" ht="18" customHeight="1" x14ac:dyDescent="0.3">
      <c r="A67" s="110">
        <v>66</v>
      </c>
      <c r="B67" s="122" t="s">
        <v>1272</v>
      </c>
      <c r="C67" s="122" t="s">
        <v>1339</v>
      </c>
      <c r="D67" s="116" t="s">
        <v>384</v>
      </c>
      <c r="E67" s="123" t="s">
        <v>35</v>
      </c>
      <c r="F67" s="124">
        <v>10000</v>
      </c>
      <c r="G67" s="116" t="s">
        <v>1393</v>
      </c>
      <c r="H67" s="116" t="s">
        <v>1257</v>
      </c>
      <c r="I67" s="116" t="s">
        <v>1384</v>
      </c>
      <c r="J67" s="121" t="s">
        <v>270</v>
      </c>
    </row>
    <row r="68" spans="1:11" s="111" customFormat="1" ht="18" customHeight="1" x14ac:dyDescent="0.3">
      <c r="A68" s="110">
        <v>67</v>
      </c>
      <c r="B68" s="122" t="s">
        <v>1272</v>
      </c>
      <c r="C68" s="122" t="s">
        <v>1340</v>
      </c>
      <c r="D68" s="116" t="s">
        <v>411</v>
      </c>
      <c r="E68" s="123" t="s">
        <v>41</v>
      </c>
      <c r="F68" s="124">
        <v>3000</v>
      </c>
      <c r="G68" s="116" t="s">
        <v>1253</v>
      </c>
      <c r="H68" s="116" t="s">
        <v>575</v>
      </c>
      <c r="I68" s="116" t="s">
        <v>1255</v>
      </c>
      <c r="J68" s="121" t="s">
        <v>270</v>
      </c>
    </row>
    <row r="69" spans="1:11" s="111" customFormat="1" ht="18" customHeight="1" x14ac:dyDescent="0.3">
      <c r="A69" s="110">
        <v>68</v>
      </c>
      <c r="B69" s="122" t="s">
        <v>1272</v>
      </c>
      <c r="C69" s="122" t="s">
        <v>1341</v>
      </c>
      <c r="D69" s="116" t="s">
        <v>384</v>
      </c>
      <c r="E69" s="123" t="s">
        <v>35</v>
      </c>
      <c r="F69" s="124">
        <v>5000</v>
      </c>
      <c r="G69" s="116" t="s">
        <v>1359</v>
      </c>
      <c r="H69" s="116" t="s">
        <v>1265</v>
      </c>
      <c r="I69" s="116" t="s">
        <v>1385</v>
      </c>
      <c r="J69" s="121" t="s">
        <v>270</v>
      </c>
    </row>
    <row r="70" spans="1:11" s="111" customFormat="1" ht="18" customHeight="1" x14ac:dyDescent="0.3">
      <c r="A70" s="110">
        <v>69</v>
      </c>
      <c r="B70" s="122" t="s">
        <v>1272</v>
      </c>
      <c r="C70" s="122" t="s">
        <v>1342</v>
      </c>
      <c r="D70" s="116" t="s">
        <v>542</v>
      </c>
      <c r="E70" s="123" t="s">
        <v>220</v>
      </c>
      <c r="F70" s="124">
        <v>11700</v>
      </c>
      <c r="G70" s="116" t="s">
        <v>103</v>
      </c>
      <c r="H70" s="116" t="s">
        <v>1386</v>
      </c>
      <c r="I70" s="116" t="s">
        <v>1252</v>
      </c>
      <c r="J70" s="121" t="s">
        <v>270</v>
      </c>
      <c r="K70" s="111">
        <f>11700/3</f>
        <v>3900</v>
      </c>
    </row>
    <row r="71" spans="1:11" s="111" customFormat="1" ht="18" customHeight="1" x14ac:dyDescent="0.3">
      <c r="A71" s="110">
        <v>70</v>
      </c>
      <c r="B71" s="122" t="s">
        <v>1272</v>
      </c>
      <c r="C71" s="122" t="s">
        <v>1343</v>
      </c>
      <c r="D71" s="116" t="s">
        <v>542</v>
      </c>
      <c r="E71" s="123" t="s">
        <v>220</v>
      </c>
      <c r="F71" s="124">
        <v>3900</v>
      </c>
      <c r="G71" s="116" t="s">
        <v>600</v>
      </c>
      <c r="H71" s="116" t="s">
        <v>1387</v>
      </c>
      <c r="I71" s="116" t="s">
        <v>81</v>
      </c>
      <c r="J71" s="121" t="s">
        <v>270</v>
      </c>
      <c r="K71" s="111">
        <f>F71/2</f>
        <v>1950</v>
      </c>
    </row>
    <row r="72" spans="1:11" s="111" customFormat="1" ht="18" customHeight="1" x14ac:dyDescent="0.3">
      <c r="A72" s="110">
        <v>71</v>
      </c>
      <c r="B72" s="122" t="s">
        <v>1272</v>
      </c>
      <c r="C72" s="122" t="s">
        <v>1344</v>
      </c>
      <c r="D72" s="116" t="s">
        <v>546</v>
      </c>
      <c r="E72" s="123" t="s">
        <v>43</v>
      </c>
      <c r="F72" s="124">
        <v>20000</v>
      </c>
      <c r="G72" s="116" t="s">
        <v>1405</v>
      </c>
      <c r="H72" s="116" t="s">
        <v>1265</v>
      </c>
      <c r="I72" s="116" t="s">
        <v>104</v>
      </c>
      <c r="J72" s="121" t="s">
        <v>270</v>
      </c>
    </row>
    <row r="73" spans="1:11" s="111" customFormat="1" ht="18" customHeight="1" x14ac:dyDescent="0.3">
      <c r="A73" s="110">
        <v>72</v>
      </c>
      <c r="B73" s="122" t="s">
        <v>1272</v>
      </c>
      <c r="C73" s="122" t="s">
        <v>1345</v>
      </c>
      <c r="D73" s="116" t="s">
        <v>411</v>
      </c>
      <c r="E73" s="123" t="s">
        <v>41</v>
      </c>
      <c r="F73" s="124">
        <v>5100</v>
      </c>
      <c r="G73" s="116" t="s">
        <v>1402</v>
      </c>
      <c r="H73" s="116" t="s">
        <v>575</v>
      </c>
      <c r="I73" s="116" t="s">
        <v>1388</v>
      </c>
      <c r="J73" s="121" t="s">
        <v>270</v>
      </c>
    </row>
    <row r="74" spans="1:11" s="111" customFormat="1" ht="18" customHeight="1" x14ac:dyDescent="0.3">
      <c r="A74" s="110">
        <v>73</v>
      </c>
      <c r="B74" s="122" t="s">
        <v>1272</v>
      </c>
      <c r="C74" s="122" t="s">
        <v>1346</v>
      </c>
      <c r="D74" s="116" t="s">
        <v>384</v>
      </c>
      <c r="E74" s="123" t="s">
        <v>35</v>
      </c>
      <c r="F74" s="124">
        <v>1232</v>
      </c>
      <c r="G74" s="116" t="s">
        <v>1425</v>
      </c>
      <c r="H74" s="116" t="s">
        <v>1389</v>
      </c>
      <c r="I74" s="116" t="s">
        <v>1390</v>
      </c>
      <c r="J74" s="121" t="s">
        <v>270</v>
      </c>
      <c r="K74" s="111">
        <v>1232</v>
      </c>
    </row>
    <row r="75" spans="1:11" s="111" customFormat="1" ht="18" customHeight="1" x14ac:dyDescent="0.3">
      <c r="A75" s="110">
        <v>74</v>
      </c>
      <c r="B75" s="122" t="s">
        <v>1272</v>
      </c>
      <c r="C75" s="122" t="s">
        <v>1347</v>
      </c>
      <c r="D75" s="116" t="s">
        <v>411</v>
      </c>
      <c r="E75" s="123" t="s">
        <v>41</v>
      </c>
      <c r="F75" s="124">
        <v>1185</v>
      </c>
      <c r="G75" s="116" t="s">
        <v>1408</v>
      </c>
      <c r="H75" s="116" t="s">
        <v>575</v>
      </c>
      <c r="I75" s="116" t="s">
        <v>1260</v>
      </c>
      <c r="J75" s="121" t="s">
        <v>270</v>
      </c>
    </row>
    <row r="76" spans="1:11" s="111" customFormat="1" ht="18" customHeight="1" x14ac:dyDescent="0.3">
      <c r="A76" s="110">
        <v>75</v>
      </c>
      <c r="B76" s="122" t="s">
        <v>1272</v>
      </c>
      <c r="C76" s="122" t="s">
        <v>1348</v>
      </c>
      <c r="D76" s="116" t="s">
        <v>411</v>
      </c>
      <c r="E76" s="123" t="s">
        <v>41</v>
      </c>
      <c r="F76" s="124">
        <v>1650</v>
      </c>
      <c r="G76" s="116" t="s">
        <v>1426</v>
      </c>
      <c r="H76" s="116" t="s">
        <v>575</v>
      </c>
      <c r="I76" s="116" t="s">
        <v>411</v>
      </c>
      <c r="J76" s="121" t="s">
        <v>270</v>
      </c>
    </row>
    <row r="77" spans="1:11" s="111" customFormat="1" ht="18" customHeight="1" x14ac:dyDescent="0.3">
      <c r="A77" s="110">
        <v>76</v>
      </c>
      <c r="B77" s="122" t="s">
        <v>1272</v>
      </c>
      <c r="C77" s="122" t="s">
        <v>1349</v>
      </c>
      <c r="D77" s="116" t="s">
        <v>411</v>
      </c>
      <c r="E77" s="123" t="s">
        <v>41</v>
      </c>
      <c r="F77" s="122">
        <v>750</v>
      </c>
      <c r="G77" s="116" t="s">
        <v>221</v>
      </c>
      <c r="H77" s="116" t="s">
        <v>575</v>
      </c>
      <c r="I77" s="116" t="s">
        <v>411</v>
      </c>
      <c r="J77" s="121" t="s">
        <v>270</v>
      </c>
    </row>
    <row r="78" spans="1:11" s="111" customFormat="1" ht="18" customHeight="1" x14ac:dyDescent="0.3">
      <c r="A78" s="110">
        <v>77</v>
      </c>
      <c r="B78" s="122" t="s">
        <v>1272</v>
      </c>
      <c r="C78" s="122" t="s">
        <v>1350</v>
      </c>
      <c r="D78" s="116" t="s">
        <v>411</v>
      </c>
      <c r="E78" s="123" t="s">
        <v>41</v>
      </c>
      <c r="F78" s="124">
        <v>1700</v>
      </c>
      <c r="G78" s="116" t="s">
        <v>1063</v>
      </c>
      <c r="H78" s="116" t="s">
        <v>575</v>
      </c>
      <c r="I78" s="116" t="s">
        <v>411</v>
      </c>
      <c r="J78" s="121" t="s">
        <v>270</v>
      </c>
    </row>
    <row r="79" spans="1:11" s="111" customFormat="1" ht="18" customHeight="1" x14ac:dyDescent="0.3">
      <c r="A79" s="110">
        <v>78</v>
      </c>
      <c r="B79" s="122" t="s">
        <v>1272</v>
      </c>
      <c r="C79" s="122" t="s">
        <v>1351</v>
      </c>
      <c r="D79" s="116" t="s">
        <v>546</v>
      </c>
      <c r="E79" s="123" t="s">
        <v>43</v>
      </c>
      <c r="F79" s="124">
        <v>1000</v>
      </c>
      <c r="G79" s="116" t="s">
        <v>65</v>
      </c>
      <c r="H79" s="116" t="s">
        <v>1256</v>
      </c>
      <c r="I79" s="116" t="s">
        <v>378</v>
      </c>
      <c r="J79" s="121" t="s">
        <v>270</v>
      </c>
    </row>
    <row r="80" spans="1:11" s="111" customFormat="1" ht="18" customHeight="1" x14ac:dyDescent="0.3">
      <c r="A80" s="110">
        <v>79</v>
      </c>
      <c r="B80" s="122" t="s">
        <v>1273</v>
      </c>
      <c r="C80" s="122" t="s">
        <v>1352</v>
      </c>
      <c r="D80" s="116" t="s">
        <v>379</v>
      </c>
      <c r="E80" s="123" t="s">
        <v>38</v>
      </c>
      <c r="F80" s="122">
        <v>300.89999999999998</v>
      </c>
      <c r="G80" s="116" t="s">
        <v>1415</v>
      </c>
      <c r="H80" s="116" t="s">
        <v>575</v>
      </c>
      <c r="I80" s="116" t="s">
        <v>1391</v>
      </c>
      <c r="J80" s="121" t="s">
        <v>270</v>
      </c>
    </row>
    <row r="81" spans="1:11" s="111" customFormat="1" ht="18" customHeight="1" x14ac:dyDescent="0.3">
      <c r="A81" s="110">
        <v>80</v>
      </c>
      <c r="B81" s="122" t="s">
        <v>1273</v>
      </c>
      <c r="C81" s="122" t="s">
        <v>1353</v>
      </c>
      <c r="D81" s="116" t="s">
        <v>379</v>
      </c>
      <c r="E81" s="123" t="s">
        <v>38</v>
      </c>
      <c r="F81" s="124">
        <v>2000</v>
      </c>
      <c r="G81" s="116" t="s">
        <v>1423</v>
      </c>
      <c r="H81" s="116" t="s">
        <v>64</v>
      </c>
      <c r="I81" s="116" t="s">
        <v>1392</v>
      </c>
      <c r="J81" s="121" t="s">
        <v>270</v>
      </c>
    </row>
    <row r="82" spans="1:11" s="111" customFormat="1" ht="18" customHeight="1" x14ac:dyDescent="0.3">
      <c r="A82" s="110">
        <v>81</v>
      </c>
      <c r="B82" s="122" t="s">
        <v>1427</v>
      </c>
      <c r="C82" s="122" t="s">
        <v>1435</v>
      </c>
      <c r="D82" s="116" t="s">
        <v>379</v>
      </c>
      <c r="E82" s="123" t="s">
        <v>38</v>
      </c>
      <c r="F82" s="122">
        <v>443.65</v>
      </c>
      <c r="G82" s="116" t="s">
        <v>1486</v>
      </c>
      <c r="H82" s="116" t="s">
        <v>64</v>
      </c>
      <c r="I82" s="116" t="s">
        <v>204</v>
      </c>
      <c r="J82" s="121" t="s">
        <v>270</v>
      </c>
    </row>
    <row r="83" spans="1:11" s="111" customFormat="1" ht="18" customHeight="1" x14ac:dyDescent="0.3">
      <c r="A83" s="110">
        <v>82</v>
      </c>
      <c r="B83" s="122" t="s">
        <v>1428</v>
      </c>
      <c r="C83" s="122" t="s">
        <v>1436</v>
      </c>
      <c r="D83" s="116" t="s">
        <v>546</v>
      </c>
      <c r="E83" s="123" t="s">
        <v>43</v>
      </c>
      <c r="F83" s="122">
        <v>500</v>
      </c>
      <c r="G83" s="116" t="s">
        <v>12</v>
      </c>
      <c r="H83" s="116" t="s">
        <v>1528</v>
      </c>
      <c r="I83" s="116" t="s">
        <v>1527</v>
      </c>
      <c r="J83" s="121" t="s">
        <v>270</v>
      </c>
    </row>
    <row r="84" spans="1:11" s="111" customFormat="1" ht="18" customHeight="1" x14ac:dyDescent="0.3">
      <c r="A84" s="110">
        <v>83</v>
      </c>
      <c r="B84" s="122" t="s">
        <v>1428</v>
      </c>
      <c r="C84" s="122" t="s">
        <v>1437</v>
      </c>
      <c r="D84" s="116" t="s">
        <v>546</v>
      </c>
      <c r="E84" s="123" t="s">
        <v>43</v>
      </c>
      <c r="F84" s="122">
        <v>500</v>
      </c>
      <c r="G84" s="116" t="s">
        <v>17</v>
      </c>
      <c r="H84" s="116" t="s">
        <v>1681</v>
      </c>
      <c r="I84" s="116" t="s">
        <v>1679</v>
      </c>
      <c r="J84" s="121" t="s">
        <v>270</v>
      </c>
    </row>
    <row r="85" spans="1:11" s="111" customFormat="1" ht="18" customHeight="1" x14ac:dyDescent="0.3">
      <c r="A85" s="110">
        <v>84</v>
      </c>
      <c r="B85" s="122" t="s">
        <v>1428</v>
      </c>
      <c r="C85" s="122" t="s">
        <v>1438</v>
      </c>
      <c r="D85" s="116" t="s">
        <v>264</v>
      </c>
      <c r="E85" s="123" t="s">
        <v>54</v>
      </c>
      <c r="F85" s="124">
        <v>50000</v>
      </c>
      <c r="G85" s="116" t="s">
        <v>67</v>
      </c>
      <c r="H85" s="116" t="s">
        <v>54</v>
      </c>
      <c r="I85" s="116" t="s">
        <v>54</v>
      </c>
      <c r="J85" s="121" t="s">
        <v>278</v>
      </c>
    </row>
    <row r="86" spans="1:11" s="111" customFormat="1" ht="18" customHeight="1" x14ac:dyDescent="0.3">
      <c r="A86" s="110">
        <v>85</v>
      </c>
      <c r="B86" s="122" t="s">
        <v>1428</v>
      </c>
      <c r="C86" s="122" t="s">
        <v>1439</v>
      </c>
      <c r="D86" s="116" t="s">
        <v>264</v>
      </c>
      <c r="E86" s="123" t="s">
        <v>54</v>
      </c>
      <c r="F86" s="124">
        <v>21000</v>
      </c>
      <c r="G86" s="116" t="s">
        <v>67</v>
      </c>
      <c r="H86" s="116" t="s">
        <v>54</v>
      </c>
      <c r="I86" s="116" t="s">
        <v>54</v>
      </c>
      <c r="J86" s="121" t="s">
        <v>278</v>
      </c>
    </row>
    <row r="87" spans="1:11" s="111" customFormat="1" ht="18" customHeight="1" x14ac:dyDescent="0.3">
      <c r="A87" s="110">
        <v>86</v>
      </c>
      <c r="B87" s="122" t="s">
        <v>1428</v>
      </c>
      <c r="C87" s="122" t="s">
        <v>1440</v>
      </c>
      <c r="D87" s="116" t="s">
        <v>546</v>
      </c>
      <c r="E87" s="123" t="s">
        <v>43</v>
      </c>
      <c r="F87" s="124">
        <v>20770</v>
      </c>
      <c r="G87" s="116" t="s">
        <v>1524</v>
      </c>
      <c r="H87" s="116" t="s">
        <v>1525</v>
      </c>
      <c r="I87" s="116" t="s">
        <v>1526</v>
      </c>
      <c r="J87" s="121" t="s">
        <v>270</v>
      </c>
      <c r="K87" s="111">
        <v>20770</v>
      </c>
    </row>
    <row r="88" spans="1:11" s="111" customFormat="1" ht="18" customHeight="1" x14ac:dyDescent="0.3">
      <c r="A88" s="110">
        <v>87</v>
      </c>
      <c r="B88" s="122" t="s">
        <v>1428</v>
      </c>
      <c r="C88" s="122" t="s">
        <v>1441</v>
      </c>
      <c r="D88" s="116" t="s">
        <v>542</v>
      </c>
      <c r="E88" s="123" t="s">
        <v>220</v>
      </c>
      <c r="F88" s="124">
        <v>14000</v>
      </c>
      <c r="G88" s="116" t="s">
        <v>1488</v>
      </c>
      <c r="H88" s="116" t="s">
        <v>1525</v>
      </c>
      <c r="I88" s="116" t="s">
        <v>1529</v>
      </c>
      <c r="J88" s="121" t="s">
        <v>270</v>
      </c>
      <c r="K88" s="111">
        <v>14000</v>
      </c>
    </row>
    <row r="89" spans="1:11" s="111" customFormat="1" ht="18" customHeight="1" x14ac:dyDescent="0.3">
      <c r="A89" s="110">
        <v>88</v>
      </c>
      <c r="B89" s="122" t="s">
        <v>1428</v>
      </c>
      <c r="C89" s="122" t="s">
        <v>1442</v>
      </c>
      <c r="D89" s="116" t="s">
        <v>542</v>
      </c>
      <c r="E89" s="123" t="s">
        <v>220</v>
      </c>
      <c r="F89" s="124">
        <v>5000</v>
      </c>
      <c r="G89" s="116" t="s">
        <v>1422</v>
      </c>
      <c r="H89" s="116" t="s">
        <v>1525</v>
      </c>
      <c r="I89" s="116" t="s">
        <v>1259</v>
      </c>
      <c r="J89" s="121" t="s">
        <v>270</v>
      </c>
      <c r="K89" s="111">
        <v>5000</v>
      </c>
    </row>
    <row r="90" spans="1:11" s="111" customFormat="1" ht="18" customHeight="1" x14ac:dyDescent="0.3">
      <c r="A90" s="110">
        <v>89</v>
      </c>
      <c r="B90" s="122" t="s">
        <v>1428</v>
      </c>
      <c r="C90" s="122" t="s">
        <v>1443</v>
      </c>
      <c r="D90" s="116" t="s">
        <v>411</v>
      </c>
      <c r="E90" s="123" t="s">
        <v>41</v>
      </c>
      <c r="F90" s="124">
        <v>1000</v>
      </c>
      <c r="G90" s="116" t="s">
        <v>1253</v>
      </c>
      <c r="H90" s="116" t="s">
        <v>575</v>
      </c>
      <c r="I90" s="116" t="s">
        <v>1487</v>
      </c>
      <c r="J90" s="121" t="s">
        <v>270</v>
      </c>
    </row>
    <row r="91" spans="1:11" s="111" customFormat="1" ht="18" customHeight="1" x14ac:dyDescent="0.3">
      <c r="A91" s="110">
        <v>90</v>
      </c>
      <c r="B91" s="122" t="s">
        <v>1428</v>
      </c>
      <c r="C91" s="122" t="s">
        <v>1444</v>
      </c>
      <c r="D91" s="116" t="s">
        <v>546</v>
      </c>
      <c r="E91" s="123" t="s">
        <v>43</v>
      </c>
      <c r="F91" s="122">
        <v>500</v>
      </c>
      <c r="G91" s="116" t="s">
        <v>1489</v>
      </c>
      <c r="H91" s="116" t="s">
        <v>1525</v>
      </c>
      <c r="I91" s="116" t="s">
        <v>1490</v>
      </c>
      <c r="J91" s="121" t="s">
        <v>270</v>
      </c>
      <c r="K91" s="111">
        <v>500</v>
      </c>
    </row>
    <row r="92" spans="1:11" s="111" customFormat="1" ht="18" customHeight="1" x14ac:dyDescent="0.3">
      <c r="A92" s="110">
        <v>91</v>
      </c>
      <c r="B92" s="122" t="s">
        <v>1428</v>
      </c>
      <c r="C92" s="122" t="s">
        <v>1445</v>
      </c>
      <c r="D92" s="116" t="s">
        <v>542</v>
      </c>
      <c r="E92" s="123" t="s">
        <v>220</v>
      </c>
      <c r="F92" s="124">
        <v>15000</v>
      </c>
      <c r="G92" s="116" t="s">
        <v>1491</v>
      </c>
      <c r="H92" s="116" t="s">
        <v>1525</v>
      </c>
      <c r="I92" s="116" t="s">
        <v>89</v>
      </c>
      <c r="J92" s="121" t="s">
        <v>270</v>
      </c>
      <c r="K92" s="111">
        <v>15000</v>
      </c>
    </row>
    <row r="93" spans="1:11" s="111" customFormat="1" ht="18" customHeight="1" x14ac:dyDescent="0.3">
      <c r="A93" s="110">
        <v>92</v>
      </c>
      <c r="B93" s="122" t="s">
        <v>1429</v>
      </c>
      <c r="C93" s="122" t="s">
        <v>1446</v>
      </c>
      <c r="D93" s="116" t="s">
        <v>1492</v>
      </c>
      <c r="E93" s="123" t="s">
        <v>750</v>
      </c>
      <c r="F93" s="124">
        <v>10000</v>
      </c>
      <c r="G93" s="116" t="s">
        <v>1493</v>
      </c>
      <c r="H93" s="116" t="s">
        <v>64</v>
      </c>
      <c r="I93" s="116" t="s">
        <v>1494</v>
      </c>
      <c r="J93" s="121" t="s">
        <v>270</v>
      </c>
    </row>
    <row r="94" spans="1:11" s="111" customFormat="1" ht="18" customHeight="1" x14ac:dyDescent="0.3">
      <c r="A94" s="110">
        <v>93</v>
      </c>
      <c r="B94" s="122" t="s">
        <v>1429</v>
      </c>
      <c r="C94" s="122" t="s">
        <v>1447</v>
      </c>
      <c r="D94" s="116" t="s">
        <v>379</v>
      </c>
      <c r="E94" s="123" t="s">
        <v>38</v>
      </c>
      <c r="F94" s="122">
        <v>900</v>
      </c>
      <c r="G94" s="116" t="s">
        <v>1495</v>
      </c>
      <c r="H94" s="116" t="s">
        <v>64</v>
      </c>
      <c r="I94" s="116" t="s">
        <v>1496</v>
      </c>
      <c r="J94" s="121" t="s">
        <v>270</v>
      </c>
    </row>
    <row r="95" spans="1:11" s="111" customFormat="1" ht="18" customHeight="1" x14ac:dyDescent="0.3">
      <c r="A95" s="110">
        <v>94</v>
      </c>
      <c r="B95" s="122" t="s">
        <v>1429</v>
      </c>
      <c r="C95" s="122" t="s">
        <v>1448</v>
      </c>
      <c r="D95" s="116" t="s">
        <v>546</v>
      </c>
      <c r="E95" s="123" t="s">
        <v>43</v>
      </c>
      <c r="F95" s="122">
        <v>200</v>
      </c>
      <c r="G95" s="116" t="s">
        <v>1497</v>
      </c>
      <c r="H95" s="116" t="s">
        <v>575</v>
      </c>
      <c r="I95" s="116"/>
      <c r="J95" s="121" t="s">
        <v>270</v>
      </c>
    </row>
    <row r="96" spans="1:11" s="111" customFormat="1" ht="18" customHeight="1" x14ac:dyDescent="0.3">
      <c r="A96" s="110">
        <v>95</v>
      </c>
      <c r="B96" s="122" t="s">
        <v>1429</v>
      </c>
      <c r="C96" s="122" t="s">
        <v>1449</v>
      </c>
      <c r="D96" s="116" t="s">
        <v>379</v>
      </c>
      <c r="E96" s="123" t="s">
        <v>38</v>
      </c>
      <c r="F96" s="122">
        <v>200</v>
      </c>
      <c r="G96" s="116" t="s">
        <v>1498</v>
      </c>
      <c r="H96" s="116" t="s">
        <v>64</v>
      </c>
      <c r="I96" s="116" t="s">
        <v>1499</v>
      </c>
      <c r="J96" s="121" t="s">
        <v>270</v>
      </c>
    </row>
    <row r="97" spans="1:11" s="111" customFormat="1" ht="18" customHeight="1" x14ac:dyDescent="0.3">
      <c r="A97" s="110">
        <v>96</v>
      </c>
      <c r="B97" s="122" t="s">
        <v>1429</v>
      </c>
      <c r="C97" s="122" t="s">
        <v>1450</v>
      </c>
      <c r="D97" s="116" t="s">
        <v>546</v>
      </c>
      <c r="E97" s="123" t="s">
        <v>43</v>
      </c>
      <c r="F97" s="122">
        <v>500</v>
      </c>
      <c r="G97" s="116" t="s">
        <v>17</v>
      </c>
      <c r="H97" s="116" t="s">
        <v>1530</v>
      </c>
      <c r="I97" s="116" t="s">
        <v>546</v>
      </c>
      <c r="J97" s="121" t="s">
        <v>270</v>
      </c>
    </row>
    <row r="98" spans="1:11" s="111" customFormat="1" ht="18" customHeight="1" x14ac:dyDescent="0.3">
      <c r="A98" s="110">
        <v>97</v>
      </c>
      <c r="B98" s="122" t="s">
        <v>1430</v>
      </c>
      <c r="C98" s="122" t="s">
        <v>1451</v>
      </c>
      <c r="D98" s="116" t="s">
        <v>264</v>
      </c>
      <c r="E98" s="123" t="s">
        <v>54</v>
      </c>
      <c r="F98" s="124">
        <v>30000</v>
      </c>
      <c r="G98" s="116" t="s">
        <v>67</v>
      </c>
      <c r="H98" s="116" t="s">
        <v>54</v>
      </c>
      <c r="I98" s="116" t="s">
        <v>54</v>
      </c>
      <c r="J98" s="121" t="s">
        <v>278</v>
      </c>
    </row>
    <row r="99" spans="1:11" s="111" customFormat="1" ht="18" customHeight="1" x14ac:dyDescent="0.3">
      <c r="A99" s="110">
        <v>98</v>
      </c>
      <c r="B99" s="122" t="s">
        <v>1430</v>
      </c>
      <c r="C99" s="122" t="s">
        <v>1452</v>
      </c>
      <c r="D99" s="116" t="s">
        <v>542</v>
      </c>
      <c r="E99" s="123" t="s">
        <v>220</v>
      </c>
      <c r="F99" s="124">
        <v>5000</v>
      </c>
      <c r="G99" s="116" t="s">
        <v>1489</v>
      </c>
      <c r="H99" s="116" t="s">
        <v>1257</v>
      </c>
      <c r="I99" s="116" t="s">
        <v>1500</v>
      </c>
      <c r="J99" s="121" t="s">
        <v>270</v>
      </c>
      <c r="K99" s="111">
        <v>5000</v>
      </c>
    </row>
    <row r="100" spans="1:11" s="111" customFormat="1" ht="18" customHeight="1" x14ac:dyDescent="0.3">
      <c r="A100" s="110">
        <v>99</v>
      </c>
      <c r="B100" s="122" t="s">
        <v>1430</v>
      </c>
      <c r="C100" s="122" t="s">
        <v>1453</v>
      </c>
      <c r="D100" s="116" t="s">
        <v>379</v>
      </c>
      <c r="E100" s="123" t="s">
        <v>38</v>
      </c>
      <c r="F100" s="124">
        <v>2781.43</v>
      </c>
      <c r="G100" s="116" t="s">
        <v>1501</v>
      </c>
      <c r="H100" s="116" t="s">
        <v>64</v>
      </c>
      <c r="I100" s="116" t="s">
        <v>378</v>
      </c>
      <c r="J100" s="121" t="s">
        <v>270</v>
      </c>
    </row>
    <row r="101" spans="1:11" s="111" customFormat="1" ht="18" customHeight="1" x14ac:dyDescent="0.3">
      <c r="A101" s="110">
        <v>100</v>
      </c>
      <c r="B101" s="122" t="s">
        <v>1430</v>
      </c>
      <c r="C101" s="122" t="s">
        <v>1454</v>
      </c>
      <c r="D101" s="116" t="s">
        <v>379</v>
      </c>
      <c r="E101" s="123" t="s">
        <v>38</v>
      </c>
      <c r="F101" s="124">
        <v>1640</v>
      </c>
      <c r="G101" s="116" t="s">
        <v>1501</v>
      </c>
      <c r="H101" s="116" t="s">
        <v>64</v>
      </c>
      <c r="I101" s="116" t="s">
        <v>378</v>
      </c>
      <c r="J101" s="121" t="s">
        <v>270</v>
      </c>
    </row>
    <row r="102" spans="1:11" s="111" customFormat="1" ht="18" customHeight="1" x14ac:dyDescent="0.3">
      <c r="A102" s="110">
        <v>101</v>
      </c>
      <c r="B102" s="122" t="s">
        <v>1430</v>
      </c>
      <c r="C102" s="122" t="s">
        <v>1455</v>
      </c>
      <c r="D102" s="116" t="s">
        <v>546</v>
      </c>
      <c r="E102" s="123" t="s">
        <v>43</v>
      </c>
      <c r="F102" s="124">
        <v>1000</v>
      </c>
      <c r="G102" s="116" t="s">
        <v>1405</v>
      </c>
      <c r="H102" s="116" t="s">
        <v>1265</v>
      </c>
      <c r="I102" s="116" t="s">
        <v>1680</v>
      </c>
      <c r="J102" s="121" t="s">
        <v>270</v>
      </c>
    </row>
    <row r="103" spans="1:11" s="111" customFormat="1" ht="18" customHeight="1" x14ac:dyDescent="0.3">
      <c r="A103" s="110">
        <v>102</v>
      </c>
      <c r="B103" s="122" t="s">
        <v>1430</v>
      </c>
      <c r="C103" s="122" t="s">
        <v>1456</v>
      </c>
      <c r="D103" s="116" t="s">
        <v>379</v>
      </c>
      <c r="E103" s="123" t="s">
        <v>38</v>
      </c>
      <c r="F103" s="124">
        <v>5500</v>
      </c>
      <c r="G103" s="116" t="s">
        <v>1502</v>
      </c>
      <c r="H103" s="116" t="s">
        <v>64</v>
      </c>
      <c r="I103" s="116" t="s">
        <v>1531</v>
      </c>
      <c r="J103" s="121" t="s">
        <v>270</v>
      </c>
    </row>
    <row r="104" spans="1:11" s="111" customFormat="1" ht="18" customHeight="1" x14ac:dyDescent="0.3">
      <c r="A104" s="110">
        <v>103</v>
      </c>
      <c r="B104" s="122" t="s">
        <v>1431</v>
      </c>
      <c r="C104" s="122" t="s">
        <v>1457</v>
      </c>
      <c r="D104" s="116" t="s">
        <v>542</v>
      </c>
      <c r="E104" s="123" t="s">
        <v>220</v>
      </c>
      <c r="F104" s="124">
        <v>2000</v>
      </c>
      <c r="G104" s="116" t="s">
        <v>1503</v>
      </c>
      <c r="H104" s="116" t="s">
        <v>1257</v>
      </c>
      <c r="I104" s="116" t="s">
        <v>89</v>
      </c>
      <c r="J104" s="121" t="s">
        <v>270</v>
      </c>
      <c r="K104" s="111">
        <v>2000</v>
      </c>
    </row>
    <row r="105" spans="1:11" s="111" customFormat="1" ht="18" customHeight="1" x14ac:dyDescent="0.3">
      <c r="A105" s="110">
        <v>104</v>
      </c>
      <c r="B105" s="122" t="s">
        <v>1431</v>
      </c>
      <c r="C105" s="122" t="s">
        <v>1458</v>
      </c>
      <c r="D105" s="116" t="s">
        <v>384</v>
      </c>
      <c r="E105" s="123" t="s">
        <v>35</v>
      </c>
      <c r="F105" s="124">
        <v>13000</v>
      </c>
      <c r="G105" s="116" t="s">
        <v>1504</v>
      </c>
      <c r="H105" s="116" t="s">
        <v>64</v>
      </c>
      <c r="I105" s="116" t="s">
        <v>1505</v>
      </c>
      <c r="J105" s="121" t="s">
        <v>270</v>
      </c>
    </row>
    <row r="106" spans="1:11" s="111" customFormat="1" ht="18" customHeight="1" x14ac:dyDescent="0.3">
      <c r="A106" s="110">
        <v>105</v>
      </c>
      <c r="B106" s="122" t="s">
        <v>1431</v>
      </c>
      <c r="C106" s="122" t="s">
        <v>1459</v>
      </c>
      <c r="D106" s="116" t="s">
        <v>379</v>
      </c>
      <c r="E106" s="123" t="s">
        <v>38</v>
      </c>
      <c r="F106" s="124">
        <v>1000</v>
      </c>
      <c r="G106" s="116" t="s">
        <v>12</v>
      </c>
      <c r="H106" s="116" t="s">
        <v>64</v>
      </c>
      <c r="I106" s="116" t="s">
        <v>1412</v>
      </c>
      <c r="J106" s="121" t="s">
        <v>270</v>
      </c>
    </row>
    <row r="107" spans="1:11" s="111" customFormat="1" ht="18" customHeight="1" x14ac:dyDescent="0.3">
      <c r="A107" s="110">
        <v>106</v>
      </c>
      <c r="B107" s="122" t="s">
        <v>1431</v>
      </c>
      <c r="C107" s="122" t="s">
        <v>1460</v>
      </c>
      <c r="D107" s="116" t="s">
        <v>264</v>
      </c>
      <c r="E107" s="123" t="s">
        <v>54</v>
      </c>
      <c r="F107" s="124">
        <v>50000</v>
      </c>
      <c r="G107" s="116" t="s">
        <v>67</v>
      </c>
      <c r="H107" s="116" t="s">
        <v>54</v>
      </c>
      <c r="I107" s="116" t="s">
        <v>54</v>
      </c>
      <c r="J107" s="121" t="s">
        <v>278</v>
      </c>
    </row>
    <row r="108" spans="1:11" s="111" customFormat="1" ht="18" customHeight="1" x14ac:dyDescent="0.3">
      <c r="A108" s="110">
        <v>107</v>
      </c>
      <c r="B108" s="122" t="s">
        <v>1431</v>
      </c>
      <c r="C108" s="122" t="s">
        <v>1461</v>
      </c>
      <c r="D108" s="116" t="s">
        <v>546</v>
      </c>
      <c r="E108" s="123" t="s">
        <v>43</v>
      </c>
      <c r="F108" s="124">
        <v>5000</v>
      </c>
      <c r="G108" s="116" t="s">
        <v>1405</v>
      </c>
      <c r="H108" s="116" t="s">
        <v>1265</v>
      </c>
      <c r="I108" s="116" t="s">
        <v>546</v>
      </c>
      <c r="J108" s="121" t="s">
        <v>270</v>
      </c>
    </row>
    <row r="109" spans="1:11" s="111" customFormat="1" ht="18" customHeight="1" x14ac:dyDescent="0.3">
      <c r="A109" s="110">
        <v>108</v>
      </c>
      <c r="B109" s="122" t="s">
        <v>1431</v>
      </c>
      <c r="C109" s="122" t="s">
        <v>1462</v>
      </c>
      <c r="D109" s="116" t="s">
        <v>542</v>
      </c>
      <c r="E109" s="123" t="s">
        <v>220</v>
      </c>
      <c r="F109" s="122">
        <v>900</v>
      </c>
      <c r="G109" s="116" t="s">
        <v>1396</v>
      </c>
      <c r="H109" s="116" t="s">
        <v>1254</v>
      </c>
      <c r="I109" s="116" t="s">
        <v>81</v>
      </c>
      <c r="J109" s="121" t="s">
        <v>270</v>
      </c>
      <c r="K109" s="111">
        <v>900</v>
      </c>
    </row>
    <row r="110" spans="1:11" s="111" customFormat="1" ht="18" customHeight="1" x14ac:dyDescent="0.3">
      <c r="A110" s="110">
        <v>109</v>
      </c>
      <c r="B110" s="122" t="s">
        <v>1431</v>
      </c>
      <c r="C110" s="122" t="s">
        <v>1463</v>
      </c>
      <c r="D110" s="116" t="s">
        <v>542</v>
      </c>
      <c r="E110" s="123" t="s">
        <v>220</v>
      </c>
      <c r="F110" s="124">
        <v>10000</v>
      </c>
      <c r="G110" s="116" t="s">
        <v>1357</v>
      </c>
      <c r="H110" s="116" t="s">
        <v>1377</v>
      </c>
      <c r="I110" s="116" t="s">
        <v>104</v>
      </c>
      <c r="J110" s="121" t="s">
        <v>270</v>
      </c>
    </row>
    <row r="111" spans="1:11" s="111" customFormat="1" ht="18" customHeight="1" x14ac:dyDescent="0.3">
      <c r="A111" s="110">
        <v>110</v>
      </c>
      <c r="B111" s="122" t="s">
        <v>1431</v>
      </c>
      <c r="C111" s="122" t="s">
        <v>1464</v>
      </c>
      <c r="D111" s="116" t="s">
        <v>411</v>
      </c>
      <c r="E111" s="123" t="s">
        <v>41</v>
      </c>
      <c r="F111" s="124">
        <v>3000</v>
      </c>
      <c r="G111" s="116" t="s">
        <v>1253</v>
      </c>
      <c r="H111" s="116" t="s">
        <v>575</v>
      </c>
      <c r="I111" s="116" t="s">
        <v>1506</v>
      </c>
      <c r="J111" s="121" t="s">
        <v>270</v>
      </c>
    </row>
    <row r="112" spans="1:11" s="111" customFormat="1" ht="18" customHeight="1" x14ac:dyDescent="0.3">
      <c r="A112" s="110">
        <v>111</v>
      </c>
      <c r="B112" s="122" t="s">
        <v>1431</v>
      </c>
      <c r="C112" s="122" t="s">
        <v>1465</v>
      </c>
      <c r="D112" s="116" t="s">
        <v>411</v>
      </c>
      <c r="E112" s="123" t="s">
        <v>41</v>
      </c>
      <c r="F112" s="124">
        <v>15000</v>
      </c>
      <c r="G112" s="116" t="s">
        <v>12</v>
      </c>
      <c r="H112" s="116" t="s">
        <v>575</v>
      </c>
      <c r="I112" s="116" t="s">
        <v>128</v>
      </c>
      <c r="J112" s="121" t="s">
        <v>270</v>
      </c>
    </row>
    <row r="113" spans="1:11" s="111" customFormat="1" ht="18" customHeight="1" x14ac:dyDescent="0.3">
      <c r="A113" s="110">
        <v>112</v>
      </c>
      <c r="B113" s="122" t="s">
        <v>1431</v>
      </c>
      <c r="C113" s="122" t="s">
        <v>1466</v>
      </c>
      <c r="D113" s="116" t="s">
        <v>411</v>
      </c>
      <c r="E113" s="123" t="s">
        <v>41</v>
      </c>
      <c r="F113" s="122">
        <v>900</v>
      </c>
      <c r="G113" s="116" t="s">
        <v>1507</v>
      </c>
      <c r="H113" s="116" t="s">
        <v>575</v>
      </c>
      <c r="I113" s="116" t="s">
        <v>1508</v>
      </c>
      <c r="J113" s="121" t="s">
        <v>270</v>
      </c>
    </row>
    <row r="114" spans="1:11" s="111" customFormat="1" ht="18" customHeight="1" x14ac:dyDescent="0.3">
      <c r="A114" s="110">
        <v>113</v>
      </c>
      <c r="B114" s="122" t="s">
        <v>1431</v>
      </c>
      <c r="C114" s="122" t="s">
        <v>1467</v>
      </c>
      <c r="D114" s="116" t="s">
        <v>411</v>
      </c>
      <c r="E114" s="123" t="s">
        <v>41</v>
      </c>
      <c r="F114" s="122">
        <v>900</v>
      </c>
      <c r="G114" s="116" t="s">
        <v>1509</v>
      </c>
      <c r="H114" s="116" t="s">
        <v>575</v>
      </c>
      <c r="I114" s="116" t="s">
        <v>1510</v>
      </c>
      <c r="J114" s="121" t="s">
        <v>270</v>
      </c>
    </row>
    <row r="115" spans="1:11" s="111" customFormat="1" ht="18" customHeight="1" x14ac:dyDescent="0.3">
      <c r="A115" s="110">
        <v>114</v>
      </c>
      <c r="B115" s="122" t="s">
        <v>1431</v>
      </c>
      <c r="C115" s="122" t="s">
        <v>1468</v>
      </c>
      <c r="D115" s="116" t="s">
        <v>546</v>
      </c>
      <c r="E115" s="123" t="s">
        <v>43</v>
      </c>
      <c r="F115" s="124">
        <v>2000</v>
      </c>
      <c r="G115" s="116" t="s">
        <v>1511</v>
      </c>
      <c r="H115" s="116" t="s">
        <v>1257</v>
      </c>
      <c r="I115" s="116" t="s">
        <v>587</v>
      </c>
      <c r="J115" s="121" t="s">
        <v>270</v>
      </c>
      <c r="K115" s="111">
        <v>2000</v>
      </c>
    </row>
    <row r="116" spans="1:11" s="111" customFormat="1" ht="18" customHeight="1" x14ac:dyDescent="0.3">
      <c r="A116" s="110">
        <v>115</v>
      </c>
      <c r="B116" s="122" t="s">
        <v>1431</v>
      </c>
      <c r="C116" s="122" t="s">
        <v>1469</v>
      </c>
      <c r="D116" s="116" t="s">
        <v>542</v>
      </c>
      <c r="E116" s="123" t="s">
        <v>220</v>
      </c>
      <c r="F116" s="124">
        <v>2000</v>
      </c>
      <c r="G116" s="116" t="s">
        <v>65</v>
      </c>
      <c r="H116" s="116" t="s">
        <v>1532</v>
      </c>
      <c r="I116" s="116" t="s">
        <v>1500</v>
      </c>
      <c r="J116" s="121" t="s">
        <v>270</v>
      </c>
    </row>
    <row r="117" spans="1:11" s="111" customFormat="1" ht="18" customHeight="1" x14ac:dyDescent="0.3">
      <c r="A117" s="110">
        <v>116</v>
      </c>
      <c r="B117" s="122" t="s">
        <v>1432</v>
      </c>
      <c r="C117" s="122" t="s">
        <v>1470</v>
      </c>
      <c r="D117" s="116" t="s">
        <v>542</v>
      </c>
      <c r="E117" s="123" t="s">
        <v>220</v>
      </c>
      <c r="F117" s="124">
        <v>2000</v>
      </c>
      <c r="G117" s="116" t="s">
        <v>1512</v>
      </c>
      <c r="H117" s="116" t="s">
        <v>64</v>
      </c>
      <c r="I117" s="116" t="s">
        <v>1513</v>
      </c>
      <c r="J117" s="121" t="s">
        <v>270</v>
      </c>
    </row>
    <row r="118" spans="1:11" s="111" customFormat="1" ht="18" customHeight="1" x14ac:dyDescent="0.3">
      <c r="A118" s="110">
        <v>117</v>
      </c>
      <c r="B118" s="122" t="s">
        <v>1432</v>
      </c>
      <c r="C118" s="122" t="s">
        <v>1471</v>
      </c>
      <c r="D118" s="116" t="s">
        <v>542</v>
      </c>
      <c r="E118" s="123" t="s">
        <v>220</v>
      </c>
      <c r="F118" s="124">
        <v>3400</v>
      </c>
      <c r="G118" s="116" t="s">
        <v>1512</v>
      </c>
      <c r="H118" s="116" t="s">
        <v>64</v>
      </c>
      <c r="I118" s="116" t="s">
        <v>1513</v>
      </c>
      <c r="J118" s="121" t="s">
        <v>270</v>
      </c>
    </row>
    <row r="119" spans="1:11" s="111" customFormat="1" ht="18" customHeight="1" x14ac:dyDescent="0.3">
      <c r="A119" s="110">
        <v>118</v>
      </c>
      <c r="B119" s="122" t="s">
        <v>1432</v>
      </c>
      <c r="C119" s="122" t="s">
        <v>1472</v>
      </c>
      <c r="D119" s="116" t="s">
        <v>264</v>
      </c>
      <c r="E119" s="123" t="s">
        <v>54</v>
      </c>
      <c r="F119" s="124">
        <v>35000</v>
      </c>
      <c r="G119" s="116" t="s">
        <v>67</v>
      </c>
      <c r="H119" s="116" t="s">
        <v>54</v>
      </c>
      <c r="I119" s="116" t="s">
        <v>54</v>
      </c>
      <c r="J119" s="121" t="s">
        <v>278</v>
      </c>
    </row>
    <row r="120" spans="1:11" s="111" customFormat="1" ht="18" customHeight="1" x14ac:dyDescent="0.3">
      <c r="A120" s="110">
        <v>119</v>
      </c>
      <c r="B120" s="122" t="s">
        <v>1432</v>
      </c>
      <c r="C120" s="122" t="s">
        <v>1473</v>
      </c>
      <c r="D120" s="116" t="s">
        <v>542</v>
      </c>
      <c r="E120" s="123" t="s">
        <v>220</v>
      </c>
      <c r="F120" s="124">
        <v>7000</v>
      </c>
      <c r="G120" s="116" t="s">
        <v>1514</v>
      </c>
      <c r="H120" s="116" t="s">
        <v>1254</v>
      </c>
      <c r="I120" s="116" t="s">
        <v>1259</v>
      </c>
      <c r="J120" s="121" t="s">
        <v>270</v>
      </c>
      <c r="K120" s="111">
        <v>7000</v>
      </c>
    </row>
    <row r="121" spans="1:11" s="111" customFormat="1" ht="18" customHeight="1" x14ac:dyDescent="0.3">
      <c r="A121" s="110">
        <v>120</v>
      </c>
      <c r="B121" s="122" t="s">
        <v>1432</v>
      </c>
      <c r="C121" s="122" t="s">
        <v>1474</v>
      </c>
      <c r="D121" s="116" t="s">
        <v>542</v>
      </c>
      <c r="E121" s="123" t="s">
        <v>220</v>
      </c>
      <c r="F121" s="124">
        <v>4500</v>
      </c>
      <c r="G121" s="116" t="s">
        <v>103</v>
      </c>
      <c r="H121" s="116" t="s">
        <v>1254</v>
      </c>
      <c r="I121" s="116" t="s">
        <v>1252</v>
      </c>
      <c r="J121" s="121" t="s">
        <v>270</v>
      </c>
      <c r="K121" s="111">
        <v>4500</v>
      </c>
    </row>
    <row r="122" spans="1:11" s="111" customFormat="1" ht="18" customHeight="1" x14ac:dyDescent="0.3">
      <c r="A122" s="110">
        <v>121</v>
      </c>
      <c r="B122" s="122" t="s">
        <v>1432</v>
      </c>
      <c r="C122" s="122" t="s">
        <v>1475</v>
      </c>
      <c r="D122" s="116" t="s">
        <v>546</v>
      </c>
      <c r="E122" s="123" t="s">
        <v>43</v>
      </c>
      <c r="F122" s="124">
        <v>6500</v>
      </c>
      <c r="G122" s="116" t="s">
        <v>600</v>
      </c>
      <c r="H122" s="116" t="s">
        <v>1256</v>
      </c>
      <c r="I122" s="116" t="s">
        <v>1515</v>
      </c>
      <c r="J122" s="121" t="s">
        <v>270</v>
      </c>
    </row>
    <row r="123" spans="1:11" s="111" customFormat="1" ht="18" customHeight="1" x14ac:dyDescent="0.3">
      <c r="A123" s="110">
        <v>122</v>
      </c>
      <c r="B123" s="122" t="s">
        <v>1432</v>
      </c>
      <c r="C123" s="122" t="s">
        <v>1476</v>
      </c>
      <c r="D123" s="116" t="s">
        <v>546</v>
      </c>
      <c r="E123" s="123" t="s">
        <v>43</v>
      </c>
      <c r="F123" s="124">
        <v>1500</v>
      </c>
      <c r="G123" s="116" t="s">
        <v>1408</v>
      </c>
      <c r="H123" s="116" t="s">
        <v>575</v>
      </c>
      <c r="I123" s="116" t="s">
        <v>1533</v>
      </c>
      <c r="J123" s="121" t="s">
        <v>270</v>
      </c>
    </row>
    <row r="124" spans="1:11" s="111" customFormat="1" ht="18" customHeight="1" x14ac:dyDescent="0.3">
      <c r="A124" s="110">
        <v>123</v>
      </c>
      <c r="B124" s="122" t="s">
        <v>1432</v>
      </c>
      <c r="C124" s="122" t="s">
        <v>1477</v>
      </c>
      <c r="D124" s="116" t="s">
        <v>546</v>
      </c>
      <c r="E124" s="123" t="s">
        <v>43</v>
      </c>
      <c r="F124" s="124">
        <v>1750</v>
      </c>
      <c r="G124" s="116" t="s">
        <v>1504</v>
      </c>
      <c r="H124" s="116" t="s">
        <v>1517</v>
      </c>
      <c r="I124" s="116" t="s">
        <v>1516</v>
      </c>
      <c r="J124" s="121" t="s">
        <v>270</v>
      </c>
    </row>
    <row r="125" spans="1:11" s="111" customFormat="1" ht="18" customHeight="1" x14ac:dyDescent="0.3">
      <c r="A125" s="110">
        <v>124</v>
      </c>
      <c r="B125" s="122" t="s">
        <v>1432</v>
      </c>
      <c r="C125" s="122" t="s">
        <v>1478</v>
      </c>
      <c r="D125" s="116" t="s">
        <v>743</v>
      </c>
      <c r="E125" s="123" t="s">
        <v>58</v>
      </c>
      <c r="F125" s="124">
        <v>5000</v>
      </c>
      <c r="G125" s="116" t="s">
        <v>762</v>
      </c>
      <c r="H125" s="116" t="s">
        <v>575</v>
      </c>
      <c r="I125" s="116" t="s">
        <v>1518</v>
      </c>
      <c r="J125" s="121" t="s">
        <v>270</v>
      </c>
    </row>
    <row r="126" spans="1:11" s="111" customFormat="1" ht="18" customHeight="1" x14ac:dyDescent="0.3">
      <c r="A126" s="110">
        <v>125</v>
      </c>
      <c r="B126" s="122" t="s">
        <v>1432</v>
      </c>
      <c r="C126" s="122" t="s">
        <v>1479</v>
      </c>
      <c r="D126" s="116" t="s">
        <v>1492</v>
      </c>
      <c r="E126" s="123" t="s">
        <v>750</v>
      </c>
      <c r="F126" s="124">
        <v>4500</v>
      </c>
      <c r="G126" s="116" t="s">
        <v>1493</v>
      </c>
      <c r="H126" s="116" t="s">
        <v>64</v>
      </c>
      <c r="I126" s="116" t="s">
        <v>1494</v>
      </c>
      <c r="J126" s="121" t="s">
        <v>270</v>
      </c>
    </row>
    <row r="127" spans="1:11" s="111" customFormat="1" ht="18" customHeight="1" x14ac:dyDescent="0.3">
      <c r="A127" s="110">
        <v>126</v>
      </c>
      <c r="B127" s="122" t="s">
        <v>1433</v>
      </c>
      <c r="C127" s="122" t="s">
        <v>1480</v>
      </c>
      <c r="D127" s="116" t="s">
        <v>384</v>
      </c>
      <c r="E127" s="123" t="s">
        <v>35</v>
      </c>
      <c r="F127" s="124">
        <v>3000</v>
      </c>
      <c r="G127" s="116" t="s">
        <v>1519</v>
      </c>
      <c r="H127" s="116" t="s">
        <v>1520</v>
      </c>
      <c r="I127" s="116" t="s">
        <v>1521</v>
      </c>
      <c r="J127" s="121" t="s">
        <v>270</v>
      </c>
    </row>
    <row r="128" spans="1:11" s="111" customFormat="1" ht="18" customHeight="1" x14ac:dyDescent="0.3">
      <c r="A128" s="110">
        <v>127</v>
      </c>
      <c r="B128" s="122" t="s">
        <v>1433</v>
      </c>
      <c r="C128" s="122" t="s">
        <v>1481</v>
      </c>
      <c r="D128" s="116" t="s">
        <v>542</v>
      </c>
      <c r="E128" s="123" t="s">
        <v>220</v>
      </c>
      <c r="F128" s="124">
        <v>6500</v>
      </c>
      <c r="G128" s="116" t="s">
        <v>1522</v>
      </c>
      <c r="H128" s="116" t="s">
        <v>64</v>
      </c>
      <c r="I128" s="116" t="s">
        <v>1259</v>
      </c>
      <c r="J128" s="121" t="s">
        <v>270</v>
      </c>
    </row>
    <row r="129" spans="1:10" s="111" customFormat="1" ht="18" customHeight="1" x14ac:dyDescent="0.3">
      <c r="A129" s="110">
        <v>128</v>
      </c>
      <c r="B129" s="122" t="s">
        <v>1433</v>
      </c>
      <c r="C129" s="122" t="s">
        <v>1482</v>
      </c>
      <c r="D129" s="116" t="s">
        <v>542</v>
      </c>
      <c r="E129" s="123" t="s">
        <v>220</v>
      </c>
      <c r="F129" s="122">
        <v>500</v>
      </c>
      <c r="G129" s="116" t="s">
        <v>65</v>
      </c>
      <c r="H129" s="116" t="s">
        <v>575</v>
      </c>
      <c r="I129" s="116" t="s">
        <v>1523</v>
      </c>
      <c r="J129" s="121" t="s">
        <v>270</v>
      </c>
    </row>
    <row r="130" spans="1:10" s="111" customFormat="1" ht="18" customHeight="1" x14ac:dyDescent="0.3">
      <c r="A130" s="110">
        <v>129</v>
      </c>
      <c r="B130" s="122" t="s">
        <v>1433</v>
      </c>
      <c r="C130" s="122" t="s">
        <v>1483</v>
      </c>
      <c r="D130" s="116" t="s">
        <v>264</v>
      </c>
      <c r="E130" s="123" t="s">
        <v>220</v>
      </c>
      <c r="F130" s="124">
        <v>5000</v>
      </c>
      <c r="G130" s="116" t="s">
        <v>67</v>
      </c>
      <c r="H130" s="116" t="s">
        <v>54</v>
      </c>
      <c r="I130" s="116" t="s">
        <v>54</v>
      </c>
      <c r="J130" s="121" t="s">
        <v>278</v>
      </c>
    </row>
    <row r="131" spans="1:10" s="111" customFormat="1" ht="18" customHeight="1" x14ac:dyDescent="0.3">
      <c r="A131" s="110">
        <v>130</v>
      </c>
      <c r="B131" s="122" t="s">
        <v>1433</v>
      </c>
      <c r="C131" s="122" t="s">
        <v>1484</v>
      </c>
      <c r="D131" s="116" t="s">
        <v>379</v>
      </c>
      <c r="E131" s="123" t="s">
        <v>38</v>
      </c>
      <c r="F131" s="122">
        <v>200</v>
      </c>
      <c r="G131" s="116" t="s">
        <v>1498</v>
      </c>
      <c r="H131" s="116" t="s">
        <v>64</v>
      </c>
      <c r="I131" s="116" t="s">
        <v>38</v>
      </c>
      <c r="J131" s="121" t="s">
        <v>270</v>
      </c>
    </row>
    <row r="132" spans="1:10" s="111" customFormat="1" ht="18" customHeight="1" x14ac:dyDescent="0.3">
      <c r="A132" s="110">
        <v>131</v>
      </c>
      <c r="B132" s="122" t="s">
        <v>1434</v>
      </c>
      <c r="C132" s="122" t="s">
        <v>1485</v>
      </c>
      <c r="D132" s="116" t="s">
        <v>546</v>
      </c>
      <c r="E132" s="123" t="s">
        <v>43</v>
      </c>
      <c r="F132" s="122">
        <v>500</v>
      </c>
      <c r="G132" s="116" t="s">
        <v>12</v>
      </c>
      <c r="H132" s="116" t="s">
        <v>1254</v>
      </c>
      <c r="I132" s="116" t="s">
        <v>1043</v>
      </c>
      <c r="J132" s="121" t="s">
        <v>270</v>
      </c>
    </row>
    <row r="133" spans="1:10" s="111" customFormat="1" ht="18" customHeight="1" x14ac:dyDescent="0.3">
      <c r="A133" s="110">
        <v>132</v>
      </c>
      <c r="B133" s="122" t="s">
        <v>1434</v>
      </c>
      <c r="C133" s="122" t="s">
        <v>1534</v>
      </c>
      <c r="D133" s="116" t="s">
        <v>546</v>
      </c>
      <c r="E133" s="123" t="s">
        <v>43</v>
      </c>
      <c r="F133" s="124">
        <v>4000</v>
      </c>
      <c r="G133" s="116" t="s">
        <v>1489</v>
      </c>
      <c r="H133" s="116"/>
      <c r="I133" s="116" t="s">
        <v>546</v>
      </c>
      <c r="J133" s="121" t="s">
        <v>270</v>
      </c>
    </row>
    <row r="134" spans="1:10" s="111" customFormat="1" ht="18" customHeight="1" x14ac:dyDescent="0.3">
      <c r="A134" s="110">
        <v>133</v>
      </c>
      <c r="B134" s="122" t="s">
        <v>1434</v>
      </c>
      <c r="C134" s="122" t="s">
        <v>1535</v>
      </c>
      <c r="D134" s="116" t="s">
        <v>379</v>
      </c>
      <c r="E134" s="123" t="s">
        <v>38</v>
      </c>
      <c r="F134" s="122">
        <v>65</v>
      </c>
      <c r="G134" s="116" t="s">
        <v>1573</v>
      </c>
      <c r="H134" s="116" t="s">
        <v>64</v>
      </c>
      <c r="I134" s="116" t="s">
        <v>378</v>
      </c>
      <c r="J134" s="121" t="s">
        <v>270</v>
      </c>
    </row>
    <row r="135" spans="1:10" s="111" customFormat="1" ht="18" customHeight="1" x14ac:dyDescent="0.3">
      <c r="A135" s="110">
        <v>134</v>
      </c>
      <c r="B135" s="122" t="s">
        <v>1568</v>
      </c>
      <c r="C135" s="122" t="s">
        <v>1536</v>
      </c>
      <c r="D135" s="116" t="s">
        <v>379</v>
      </c>
      <c r="E135" s="123" t="s">
        <v>38</v>
      </c>
      <c r="F135" s="122">
        <v>125</v>
      </c>
      <c r="G135" s="116" t="s">
        <v>1574</v>
      </c>
      <c r="H135" s="116" t="s">
        <v>64</v>
      </c>
      <c r="I135" s="116" t="s">
        <v>378</v>
      </c>
      <c r="J135" s="121" t="s">
        <v>270</v>
      </c>
    </row>
    <row r="136" spans="1:10" s="111" customFormat="1" ht="18" customHeight="1" x14ac:dyDescent="0.3">
      <c r="A136" s="110">
        <v>135</v>
      </c>
      <c r="B136" s="122" t="s">
        <v>1569</v>
      </c>
      <c r="C136" s="122" t="s">
        <v>1537</v>
      </c>
      <c r="D136" s="116" t="s">
        <v>264</v>
      </c>
      <c r="E136" s="123" t="s">
        <v>54</v>
      </c>
      <c r="F136" s="124">
        <v>48000</v>
      </c>
      <c r="G136" s="116" t="s">
        <v>67</v>
      </c>
      <c r="H136" s="116" t="s">
        <v>54</v>
      </c>
      <c r="I136" s="116" t="s">
        <v>54</v>
      </c>
      <c r="J136" s="121" t="s">
        <v>278</v>
      </c>
    </row>
    <row r="137" spans="1:10" s="111" customFormat="1" ht="18" customHeight="1" x14ac:dyDescent="0.3">
      <c r="A137" s="110">
        <v>136</v>
      </c>
      <c r="B137" s="122" t="s">
        <v>1569</v>
      </c>
      <c r="C137" s="122" t="s">
        <v>1538</v>
      </c>
      <c r="D137" s="116" t="s">
        <v>1587</v>
      </c>
      <c r="E137" s="123" t="s">
        <v>41</v>
      </c>
      <c r="F137" s="124">
        <v>48000</v>
      </c>
      <c r="G137" s="116" t="s">
        <v>1253</v>
      </c>
      <c r="H137" s="116" t="s">
        <v>575</v>
      </c>
      <c r="I137" s="116" t="s">
        <v>47</v>
      </c>
      <c r="J137" s="121" t="s">
        <v>270</v>
      </c>
    </row>
    <row r="138" spans="1:10" s="111" customFormat="1" ht="18" customHeight="1" x14ac:dyDescent="0.3">
      <c r="A138" s="110">
        <v>137</v>
      </c>
      <c r="B138" s="122" t="s">
        <v>1569</v>
      </c>
      <c r="C138" s="122" t="s">
        <v>1539</v>
      </c>
      <c r="D138" s="116" t="s">
        <v>379</v>
      </c>
      <c r="E138" s="123" t="s">
        <v>38</v>
      </c>
      <c r="F138" s="122">
        <v>100</v>
      </c>
      <c r="G138" s="116" t="s">
        <v>99</v>
      </c>
      <c r="H138" s="116" t="s">
        <v>64</v>
      </c>
      <c r="I138" s="116" t="s">
        <v>924</v>
      </c>
      <c r="J138" s="121" t="s">
        <v>270</v>
      </c>
    </row>
    <row r="139" spans="1:10" s="111" customFormat="1" ht="18" customHeight="1" x14ac:dyDescent="0.3">
      <c r="A139" s="110">
        <v>138</v>
      </c>
      <c r="B139" s="122" t="s">
        <v>1569</v>
      </c>
      <c r="C139" s="122" t="s">
        <v>1540</v>
      </c>
      <c r="D139" s="116" t="s">
        <v>264</v>
      </c>
      <c r="E139" s="123" t="s">
        <v>54</v>
      </c>
      <c r="F139" s="124">
        <v>5000</v>
      </c>
      <c r="G139" s="116" t="s">
        <v>67</v>
      </c>
      <c r="H139" s="116" t="s">
        <v>54</v>
      </c>
      <c r="I139" s="116" t="s">
        <v>54</v>
      </c>
      <c r="J139" s="121" t="s">
        <v>278</v>
      </c>
    </row>
    <row r="140" spans="1:10" s="111" customFormat="1" ht="18" customHeight="1" x14ac:dyDescent="0.3">
      <c r="A140" s="110">
        <v>139</v>
      </c>
      <c r="B140" s="122" t="s">
        <v>1569</v>
      </c>
      <c r="C140" s="122" t="s">
        <v>1541</v>
      </c>
      <c r="D140" s="116" t="s">
        <v>546</v>
      </c>
      <c r="E140" s="123" t="s">
        <v>43</v>
      </c>
      <c r="F140" s="122">
        <v>500</v>
      </c>
      <c r="G140" s="116" t="s">
        <v>12</v>
      </c>
      <c r="H140" s="116"/>
      <c r="I140" s="116" t="s">
        <v>1575</v>
      </c>
      <c r="J140" s="121" t="s">
        <v>270</v>
      </c>
    </row>
    <row r="141" spans="1:10" s="111" customFormat="1" ht="18" customHeight="1" x14ac:dyDescent="0.3">
      <c r="A141" s="110">
        <v>140</v>
      </c>
      <c r="B141" s="122" t="s">
        <v>1569</v>
      </c>
      <c r="C141" s="122" t="s">
        <v>1542</v>
      </c>
      <c r="D141" s="116" t="s">
        <v>546</v>
      </c>
      <c r="E141" s="123" t="s">
        <v>43</v>
      </c>
      <c r="F141" s="122">
        <v>500</v>
      </c>
      <c r="G141" s="116" t="s">
        <v>65</v>
      </c>
      <c r="H141" s="116"/>
      <c r="I141" s="116" t="s">
        <v>427</v>
      </c>
      <c r="J141" s="121" t="s">
        <v>270</v>
      </c>
    </row>
    <row r="142" spans="1:10" s="111" customFormat="1" ht="18" customHeight="1" x14ac:dyDescent="0.3">
      <c r="A142" s="110">
        <v>141</v>
      </c>
      <c r="B142" s="122" t="s">
        <v>1569</v>
      </c>
      <c r="C142" s="122" t="s">
        <v>1543</v>
      </c>
      <c r="D142" s="116" t="s">
        <v>264</v>
      </c>
      <c r="E142" s="123" t="s">
        <v>54</v>
      </c>
      <c r="F142" s="124">
        <v>6000</v>
      </c>
      <c r="G142" s="116" t="s">
        <v>67</v>
      </c>
      <c r="H142" s="116" t="s">
        <v>54</v>
      </c>
      <c r="I142" s="116" t="s">
        <v>54</v>
      </c>
      <c r="J142" s="121" t="s">
        <v>278</v>
      </c>
    </row>
    <row r="143" spans="1:10" s="111" customFormat="1" ht="18" customHeight="1" x14ac:dyDescent="0.3">
      <c r="A143" s="110">
        <v>142</v>
      </c>
      <c r="B143" s="122" t="s">
        <v>1569</v>
      </c>
      <c r="C143" s="122" t="s">
        <v>1544</v>
      </c>
      <c r="D143" s="116" t="s">
        <v>542</v>
      </c>
      <c r="E143" s="123" t="s">
        <v>220</v>
      </c>
      <c r="F143" s="124">
        <v>4000</v>
      </c>
      <c r="G143" s="116" t="s">
        <v>94</v>
      </c>
      <c r="H143" s="116"/>
      <c r="I143" s="116" t="s">
        <v>1252</v>
      </c>
      <c r="J143" s="121" t="s">
        <v>270</v>
      </c>
    </row>
    <row r="144" spans="1:10" s="111" customFormat="1" ht="18" customHeight="1" x14ac:dyDescent="0.3">
      <c r="A144" s="110">
        <v>143</v>
      </c>
      <c r="B144" s="122" t="s">
        <v>1570</v>
      </c>
      <c r="C144" s="122" t="s">
        <v>1545</v>
      </c>
      <c r="D144" s="116" t="s">
        <v>542</v>
      </c>
      <c r="E144" s="123" t="s">
        <v>220</v>
      </c>
      <c r="F144" s="124">
        <v>2000</v>
      </c>
      <c r="G144" s="116" t="s">
        <v>94</v>
      </c>
      <c r="H144" s="116"/>
      <c r="I144" s="116" t="s">
        <v>1252</v>
      </c>
      <c r="J144" s="121" t="s">
        <v>270</v>
      </c>
    </row>
    <row r="145" spans="1:28" s="111" customFormat="1" ht="18" customHeight="1" x14ac:dyDescent="0.3">
      <c r="A145" s="110">
        <v>144</v>
      </c>
      <c r="B145" s="122" t="s">
        <v>1570</v>
      </c>
      <c r="C145" s="122" t="s">
        <v>1546</v>
      </c>
      <c r="D145" s="116" t="s">
        <v>542</v>
      </c>
      <c r="E145" s="123" t="s">
        <v>220</v>
      </c>
      <c r="F145" s="122">
        <v>900</v>
      </c>
      <c r="G145" s="116" t="s">
        <v>1396</v>
      </c>
      <c r="H145" s="116"/>
      <c r="I145" s="116" t="s">
        <v>81</v>
      </c>
      <c r="J145" s="121" t="s">
        <v>270</v>
      </c>
    </row>
    <row r="146" spans="1:28" s="111" customFormat="1" ht="18" customHeight="1" x14ac:dyDescent="0.3">
      <c r="A146" s="110">
        <v>145</v>
      </c>
      <c r="B146" s="122" t="s">
        <v>1570</v>
      </c>
      <c r="C146" s="122" t="s">
        <v>1547</v>
      </c>
      <c r="D146" s="116" t="s">
        <v>546</v>
      </c>
      <c r="E146" s="123" t="s">
        <v>43</v>
      </c>
      <c r="F146" s="122">
        <v>800</v>
      </c>
      <c r="G146" s="116" t="s">
        <v>17</v>
      </c>
      <c r="H146" s="116"/>
      <c r="I146" s="116" t="s">
        <v>1576</v>
      </c>
      <c r="J146" s="121" t="s">
        <v>270</v>
      </c>
    </row>
    <row r="147" spans="1:28" s="111" customFormat="1" ht="18" customHeight="1" x14ac:dyDescent="0.3">
      <c r="A147" s="110">
        <v>146</v>
      </c>
      <c r="B147" s="122" t="s">
        <v>1570</v>
      </c>
      <c r="C147" s="122" t="s">
        <v>1548</v>
      </c>
      <c r="D147" s="116" t="s">
        <v>546</v>
      </c>
      <c r="E147" s="123" t="s">
        <v>43</v>
      </c>
      <c r="F147" s="124">
        <v>2000</v>
      </c>
      <c r="G147" s="116" t="s">
        <v>1357</v>
      </c>
      <c r="H147" s="116"/>
      <c r="I147" s="116" t="s">
        <v>398</v>
      </c>
      <c r="J147" s="121" t="s">
        <v>270</v>
      </c>
    </row>
    <row r="148" spans="1:28" s="111" customFormat="1" ht="18" customHeight="1" x14ac:dyDescent="0.3">
      <c r="A148" s="110">
        <v>147</v>
      </c>
      <c r="B148" s="122" t="s">
        <v>1571</v>
      </c>
      <c r="C148" s="122" t="s">
        <v>1549</v>
      </c>
      <c r="D148" s="116" t="s">
        <v>379</v>
      </c>
      <c r="E148" s="123" t="s">
        <v>38</v>
      </c>
      <c r="F148" s="122">
        <v>455.81</v>
      </c>
      <c r="G148" s="116" t="s">
        <v>1486</v>
      </c>
      <c r="H148" s="116" t="s">
        <v>64</v>
      </c>
      <c r="I148" s="116" t="s">
        <v>204</v>
      </c>
      <c r="J148" s="121" t="s">
        <v>270</v>
      </c>
    </row>
    <row r="149" spans="1:28" s="111" customFormat="1" ht="18" customHeight="1" x14ac:dyDescent="0.3">
      <c r="A149" s="110">
        <v>148</v>
      </c>
      <c r="B149" s="122" t="s">
        <v>1571</v>
      </c>
      <c r="C149" s="122" t="s">
        <v>1550</v>
      </c>
      <c r="D149" s="116" t="s">
        <v>264</v>
      </c>
      <c r="E149" s="123" t="s">
        <v>54</v>
      </c>
      <c r="F149" s="124">
        <v>135000</v>
      </c>
      <c r="G149" s="116" t="s">
        <v>67</v>
      </c>
      <c r="H149" s="116" t="s">
        <v>54</v>
      </c>
      <c r="I149" s="116" t="s">
        <v>54</v>
      </c>
      <c r="J149" s="121" t="s">
        <v>278</v>
      </c>
    </row>
    <row r="150" spans="1:28" s="111" customFormat="1" ht="18" customHeight="1" x14ac:dyDescent="0.3">
      <c r="A150" s="110">
        <v>149</v>
      </c>
      <c r="B150" s="122" t="s">
        <v>1571</v>
      </c>
      <c r="C150" s="122" t="s">
        <v>1551</v>
      </c>
      <c r="D150" s="116" t="s">
        <v>546</v>
      </c>
      <c r="E150" s="123" t="s">
        <v>43</v>
      </c>
      <c r="F150" s="124">
        <v>25000</v>
      </c>
      <c r="G150" s="116" t="s">
        <v>1357</v>
      </c>
      <c r="H150" s="116"/>
      <c r="I150" s="116" t="s">
        <v>546</v>
      </c>
      <c r="J150" s="121" t="s">
        <v>270</v>
      </c>
    </row>
    <row r="151" spans="1:28" s="111" customFormat="1" ht="18" customHeight="1" x14ac:dyDescent="0.3">
      <c r="A151" s="110">
        <v>150</v>
      </c>
      <c r="B151" s="122" t="s">
        <v>1571</v>
      </c>
      <c r="C151" s="122" t="s">
        <v>1552</v>
      </c>
      <c r="D151" s="116" t="s">
        <v>384</v>
      </c>
      <c r="E151" s="123" t="s">
        <v>35</v>
      </c>
      <c r="F151" s="124">
        <v>10000</v>
      </c>
      <c r="G151" s="116" t="s">
        <v>1393</v>
      </c>
      <c r="H151" s="116"/>
      <c r="I151" s="116" t="s">
        <v>587</v>
      </c>
      <c r="J151" s="121" t="s">
        <v>270</v>
      </c>
    </row>
    <row r="152" spans="1:28" s="111" customFormat="1" ht="18" customHeight="1" x14ac:dyDescent="0.3">
      <c r="A152" s="110">
        <v>151</v>
      </c>
      <c r="B152" s="122" t="s">
        <v>1571</v>
      </c>
      <c r="C152" s="122" t="s">
        <v>1553</v>
      </c>
      <c r="D152" s="116" t="s">
        <v>546</v>
      </c>
      <c r="E152" s="123" t="s">
        <v>43</v>
      </c>
      <c r="F152" s="124">
        <v>6000</v>
      </c>
      <c r="G152" s="116" t="s">
        <v>65</v>
      </c>
      <c r="H152" s="116"/>
      <c r="I152" s="116"/>
      <c r="J152" s="121" t="s">
        <v>270</v>
      </c>
    </row>
    <row r="153" spans="1:28" s="111" customFormat="1" ht="18" customHeight="1" x14ac:dyDescent="0.3">
      <c r="A153" s="110">
        <v>152</v>
      </c>
      <c r="B153" s="122" t="s">
        <v>1571</v>
      </c>
      <c r="C153" s="122" t="s">
        <v>1554</v>
      </c>
      <c r="D153" s="116" t="s">
        <v>542</v>
      </c>
      <c r="E153" s="123" t="s">
        <v>220</v>
      </c>
      <c r="F153" s="124">
        <v>40000</v>
      </c>
      <c r="G153" s="116" t="s">
        <v>1356</v>
      </c>
      <c r="H153" s="116"/>
      <c r="I153" s="116" t="s">
        <v>79</v>
      </c>
      <c r="J153" s="121" t="s">
        <v>270</v>
      </c>
      <c r="AB153" s="111" t="s">
        <v>1263</v>
      </c>
    </row>
    <row r="154" spans="1:28" s="111" customFormat="1" ht="18" customHeight="1" x14ac:dyDescent="0.3">
      <c r="A154" s="110">
        <v>153</v>
      </c>
      <c r="B154" s="122" t="s">
        <v>1571</v>
      </c>
      <c r="C154" s="122" t="s">
        <v>1555</v>
      </c>
      <c r="D154" s="116" t="s">
        <v>542</v>
      </c>
      <c r="E154" s="123" t="s">
        <v>220</v>
      </c>
      <c r="F154" s="124">
        <v>2000</v>
      </c>
      <c r="G154" s="116" t="s">
        <v>103</v>
      </c>
      <c r="H154" s="116"/>
      <c r="I154" s="116" t="s">
        <v>89</v>
      </c>
      <c r="J154" s="121" t="s">
        <v>270</v>
      </c>
    </row>
    <row r="155" spans="1:28" s="111" customFormat="1" ht="18" customHeight="1" x14ac:dyDescent="0.3">
      <c r="A155" s="110">
        <v>154</v>
      </c>
      <c r="B155" s="122" t="s">
        <v>1571</v>
      </c>
      <c r="C155" s="122" t="s">
        <v>1556</v>
      </c>
      <c r="D155" s="116" t="s">
        <v>546</v>
      </c>
      <c r="E155" s="123" t="s">
        <v>43</v>
      </c>
      <c r="F155" s="124">
        <v>5600</v>
      </c>
      <c r="G155" s="116" t="s">
        <v>600</v>
      </c>
      <c r="H155" s="116"/>
      <c r="I155" s="116" t="s">
        <v>1515</v>
      </c>
      <c r="J155" s="121" t="s">
        <v>270</v>
      </c>
    </row>
    <row r="156" spans="1:28" s="111" customFormat="1" ht="18" customHeight="1" x14ac:dyDescent="0.3">
      <c r="A156" s="110">
        <v>155</v>
      </c>
      <c r="B156" s="122" t="s">
        <v>1571</v>
      </c>
      <c r="C156" s="122" t="s">
        <v>1557</v>
      </c>
      <c r="D156" s="116" t="s">
        <v>411</v>
      </c>
      <c r="E156" s="123" t="s">
        <v>41</v>
      </c>
      <c r="F156" s="124">
        <v>5100</v>
      </c>
      <c r="G156" s="116" t="s">
        <v>1577</v>
      </c>
      <c r="H156" s="116"/>
      <c r="I156" s="116" t="s">
        <v>1578</v>
      </c>
      <c r="J156" s="121" t="s">
        <v>270</v>
      </c>
    </row>
    <row r="157" spans="1:28" s="111" customFormat="1" ht="18" customHeight="1" x14ac:dyDescent="0.3">
      <c r="A157" s="110">
        <v>156</v>
      </c>
      <c r="B157" s="122" t="s">
        <v>1571</v>
      </c>
      <c r="C157" s="122" t="s">
        <v>1558</v>
      </c>
      <c r="D157" s="116" t="s">
        <v>546</v>
      </c>
      <c r="E157" s="123" t="s">
        <v>43</v>
      </c>
      <c r="F157" s="124">
        <v>10250</v>
      </c>
      <c r="G157" s="116" t="s">
        <v>1579</v>
      </c>
      <c r="H157" s="116"/>
      <c r="I157" s="116" t="s">
        <v>1580</v>
      </c>
      <c r="J157" s="121" t="s">
        <v>270</v>
      </c>
    </row>
    <row r="158" spans="1:28" s="111" customFormat="1" ht="18" customHeight="1" x14ac:dyDescent="0.3">
      <c r="A158" s="110">
        <v>157</v>
      </c>
      <c r="B158" s="122" t="s">
        <v>1571</v>
      </c>
      <c r="C158" s="122" t="s">
        <v>1559</v>
      </c>
      <c r="D158" s="116" t="s">
        <v>411</v>
      </c>
      <c r="E158" s="123" t="s">
        <v>41</v>
      </c>
      <c r="F158" s="124">
        <v>1400</v>
      </c>
      <c r="G158" s="116" t="s">
        <v>1408</v>
      </c>
      <c r="H158" s="116" t="s">
        <v>575</v>
      </c>
      <c r="I158" s="116" t="s">
        <v>1260</v>
      </c>
      <c r="J158" s="121" t="s">
        <v>270</v>
      </c>
    </row>
    <row r="159" spans="1:28" s="111" customFormat="1" ht="18" customHeight="1" x14ac:dyDescent="0.3">
      <c r="A159" s="110">
        <v>158</v>
      </c>
      <c r="B159" s="122" t="s">
        <v>1571</v>
      </c>
      <c r="C159" s="122" t="s">
        <v>1560</v>
      </c>
      <c r="D159" s="116" t="s">
        <v>411</v>
      </c>
      <c r="E159" s="123" t="s">
        <v>41</v>
      </c>
      <c r="F159" s="124">
        <v>1100</v>
      </c>
      <c r="G159" s="116" t="s">
        <v>221</v>
      </c>
      <c r="H159" s="116"/>
      <c r="I159" s="116" t="s">
        <v>112</v>
      </c>
      <c r="J159" s="121" t="s">
        <v>270</v>
      </c>
    </row>
    <row r="160" spans="1:28" s="111" customFormat="1" ht="18" customHeight="1" x14ac:dyDescent="0.3">
      <c r="A160" s="110">
        <v>159</v>
      </c>
      <c r="B160" s="122" t="s">
        <v>1571</v>
      </c>
      <c r="C160" s="122" t="s">
        <v>1561</v>
      </c>
      <c r="D160" s="116" t="s">
        <v>411</v>
      </c>
      <c r="E160" s="123" t="s">
        <v>41</v>
      </c>
      <c r="F160" s="124">
        <v>5600</v>
      </c>
      <c r="G160" s="116" t="s">
        <v>1426</v>
      </c>
      <c r="H160" s="116" t="s">
        <v>575</v>
      </c>
      <c r="I160" s="116" t="s">
        <v>1581</v>
      </c>
      <c r="J160" s="121" t="s">
        <v>270</v>
      </c>
    </row>
    <row r="161" spans="1:10" s="111" customFormat="1" ht="18" customHeight="1" x14ac:dyDescent="0.3">
      <c r="A161" s="110">
        <v>160</v>
      </c>
      <c r="B161" s="122" t="s">
        <v>1571</v>
      </c>
      <c r="C161" s="122" t="s">
        <v>1562</v>
      </c>
      <c r="D161" s="116" t="s">
        <v>411</v>
      </c>
      <c r="E161" s="123" t="s">
        <v>41</v>
      </c>
      <c r="F161" s="124">
        <v>3000</v>
      </c>
      <c r="G161" s="116" t="s">
        <v>1253</v>
      </c>
      <c r="H161" s="116" t="s">
        <v>575</v>
      </c>
      <c r="I161" s="116" t="s">
        <v>1255</v>
      </c>
      <c r="J161" s="121" t="s">
        <v>270</v>
      </c>
    </row>
    <row r="162" spans="1:10" s="111" customFormat="1" ht="18" customHeight="1" x14ac:dyDescent="0.3">
      <c r="A162" s="110">
        <v>161</v>
      </c>
      <c r="B162" s="122" t="s">
        <v>1571</v>
      </c>
      <c r="C162" s="122" t="s">
        <v>1563</v>
      </c>
      <c r="D162" s="116" t="s">
        <v>411</v>
      </c>
      <c r="E162" s="123" t="s">
        <v>41</v>
      </c>
      <c r="F162" s="124">
        <v>12400</v>
      </c>
      <c r="G162" s="116" t="s">
        <v>1582</v>
      </c>
      <c r="H162" s="116" t="s">
        <v>575</v>
      </c>
      <c r="I162" s="116" t="s">
        <v>1255</v>
      </c>
      <c r="J162" s="121" t="s">
        <v>270</v>
      </c>
    </row>
    <row r="163" spans="1:10" s="111" customFormat="1" ht="18" customHeight="1" x14ac:dyDescent="0.3">
      <c r="A163" s="110">
        <v>162</v>
      </c>
      <c r="B163" s="122" t="s">
        <v>1571</v>
      </c>
      <c r="C163" s="122" t="s">
        <v>1564</v>
      </c>
      <c r="D163" s="116" t="s">
        <v>411</v>
      </c>
      <c r="E163" s="123" t="s">
        <v>41</v>
      </c>
      <c r="F163" s="124">
        <v>1576</v>
      </c>
      <c r="G163" s="116" t="s">
        <v>1583</v>
      </c>
      <c r="H163" s="116" t="s">
        <v>575</v>
      </c>
      <c r="I163" s="116" t="s">
        <v>1487</v>
      </c>
      <c r="J163" s="121" t="s">
        <v>270</v>
      </c>
    </row>
    <row r="164" spans="1:10" s="111" customFormat="1" ht="18" customHeight="1" x14ac:dyDescent="0.3">
      <c r="A164" s="110">
        <v>163</v>
      </c>
      <c r="B164" s="122" t="s">
        <v>1571</v>
      </c>
      <c r="C164" s="122" t="s">
        <v>1565</v>
      </c>
      <c r="D164" s="116" t="s">
        <v>411</v>
      </c>
      <c r="E164" s="123" t="s">
        <v>41</v>
      </c>
      <c r="F164" s="124">
        <v>1505.9</v>
      </c>
      <c r="G164" s="116" t="s">
        <v>1584</v>
      </c>
      <c r="H164" s="116" t="s">
        <v>575</v>
      </c>
      <c r="I164" s="116"/>
      <c r="J164" s="121" t="s">
        <v>270</v>
      </c>
    </row>
    <row r="165" spans="1:10" s="111" customFormat="1" ht="18" customHeight="1" x14ac:dyDescent="0.3">
      <c r="A165" s="110">
        <v>164</v>
      </c>
      <c r="B165" s="122" t="s">
        <v>1572</v>
      </c>
      <c r="C165" s="122" t="s">
        <v>1566</v>
      </c>
      <c r="D165" s="116" t="s">
        <v>1241</v>
      </c>
      <c r="E165" s="123" t="s">
        <v>212</v>
      </c>
      <c r="F165" s="122">
        <v>216</v>
      </c>
      <c r="G165" s="125" t="s">
        <v>1585</v>
      </c>
      <c r="H165" s="116" t="s">
        <v>64</v>
      </c>
      <c r="I165" s="116" t="s">
        <v>1241</v>
      </c>
      <c r="J165" s="121" t="s">
        <v>270</v>
      </c>
    </row>
    <row r="166" spans="1:10" s="111" customFormat="1" ht="18" customHeight="1" x14ac:dyDescent="0.3">
      <c r="A166" s="110">
        <v>165</v>
      </c>
      <c r="B166" s="122" t="s">
        <v>1572</v>
      </c>
      <c r="C166" s="122" t="s">
        <v>484</v>
      </c>
      <c r="D166" s="116" t="s">
        <v>1241</v>
      </c>
      <c r="E166" s="123" t="s">
        <v>212</v>
      </c>
      <c r="F166" s="124">
        <v>1200</v>
      </c>
      <c r="G166" s="125" t="s">
        <v>1586</v>
      </c>
      <c r="H166" s="116" t="s">
        <v>64</v>
      </c>
      <c r="I166" s="116" t="s">
        <v>1241</v>
      </c>
      <c r="J166" s="121" t="s">
        <v>270</v>
      </c>
    </row>
    <row r="167" spans="1:10" s="111" customFormat="1" ht="18" customHeight="1" x14ac:dyDescent="0.3">
      <c r="A167" s="110">
        <v>166</v>
      </c>
      <c r="B167" s="122" t="s">
        <v>1572</v>
      </c>
      <c r="C167" s="122" t="s">
        <v>880</v>
      </c>
      <c r="D167" s="116" t="s">
        <v>1241</v>
      </c>
      <c r="E167" s="123" t="s">
        <v>212</v>
      </c>
      <c r="F167" s="122">
        <v>100</v>
      </c>
      <c r="G167" s="125" t="s">
        <v>1586</v>
      </c>
      <c r="H167" s="116" t="s">
        <v>64</v>
      </c>
      <c r="I167" s="116" t="s">
        <v>1241</v>
      </c>
      <c r="J167" s="121" t="s">
        <v>270</v>
      </c>
    </row>
    <row r="168" spans="1:10" s="111" customFormat="1" ht="18" customHeight="1" x14ac:dyDescent="0.3">
      <c r="A168" s="110">
        <v>167</v>
      </c>
      <c r="B168" s="122" t="s">
        <v>1572</v>
      </c>
      <c r="C168" s="122" t="s">
        <v>1567</v>
      </c>
      <c r="D168" s="116" t="s">
        <v>1241</v>
      </c>
      <c r="E168" s="123" t="s">
        <v>212</v>
      </c>
      <c r="F168" s="122">
        <v>18</v>
      </c>
      <c r="G168" s="125" t="s">
        <v>1585</v>
      </c>
      <c r="H168" s="116" t="s">
        <v>64</v>
      </c>
      <c r="I168" s="116" t="s">
        <v>1241</v>
      </c>
      <c r="J168" s="121" t="s">
        <v>270</v>
      </c>
    </row>
    <row r="169" spans="1:10" s="111" customFormat="1" ht="18" customHeight="1" x14ac:dyDescent="0.3">
      <c r="A169" s="110"/>
      <c r="B169" s="122" t="s">
        <v>1641</v>
      </c>
      <c r="C169" s="122" t="s">
        <v>1588</v>
      </c>
      <c r="D169" s="116" t="s">
        <v>379</v>
      </c>
      <c r="E169" s="123" t="s">
        <v>38</v>
      </c>
      <c r="F169" s="124">
        <v>1000</v>
      </c>
      <c r="G169" s="126" t="s">
        <v>1647</v>
      </c>
      <c r="H169" s="116" t="s">
        <v>64</v>
      </c>
      <c r="I169" s="116" t="s">
        <v>204</v>
      </c>
      <c r="J169" s="121" t="s">
        <v>270</v>
      </c>
    </row>
    <row r="170" spans="1:10" s="111" customFormat="1" ht="18" customHeight="1" x14ac:dyDescent="0.3">
      <c r="A170" s="110"/>
      <c r="B170" s="122" t="s">
        <v>1641</v>
      </c>
      <c r="C170" s="122" t="s">
        <v>1589</v>
      </c>
      <c r="D170" s="116" t="s">
        <v>542</v>
      </c>
      <c r="E170" s="123" t="s">
        <v>220</v>
      </c>
      <c r="F170" s="122">
        <v>260</v>
      </c>
      <c r="G170" s="126" t="s">
        <v>1648</v>
      </c>
      <c r="H170" s="116" t="s">
        <v>575</v>
      </c>
      <c r="I170" s="116" t="s">
        <v>1371</v>
      </c>
      <c r="J170" s="121" t="s">
        <v>270</v>
      </c>
    </row>
    <row r="171" spans="1:10" s="111" customFormat="1" ht="18" customHeight="1" x14ac:dyDescent="0.3">
      <c r="A171" s="110"/>
      <c r="B171" s="122" t="s">
        <v>1641</v>
      </c>
      <c r="C171" s="122" t="s">
        <v>1590</v>
      </c>
      <c r="D171" s="116" t="s">
        <v>379</v>
      </c>
      <c r="E171" s="123" t="s">
        <v>38</v>
      </c>
      <c r="F171" s="122">
        <v>50</v>
      </c>
      <c r="G171" s="126" t="s">
        <v>1573</v>
      </c>
      <c r="H171" s="116" t="s">
        <v>64</v>
      </c>
      <c r="I171" s="116" t="s">
        <v>417</v>
      </c>
      <c r="J171" s="121" t="s">
        <v>270</v>
      </c>
    </row>
    <row r="172" spans="1:10" s="111" customFormat="1" ht="18" customHeight="1" x14ac:dyDescent="0.3">
      <c r="A172" s="110"/>
      <c r="B172" s="122" t="s">
        <v>1642</v>
      </c>
      <c r="C172" s="122" t="s">
        <v>1591</v>
      </c>
      <c r="D172" s="116" t="s">
        <v>264</v>
      </c>
      <c r="E172" s="123" t="s">
        <v>54</v>
      </c>
      <c r="F172" s="124">
        <v>10000</v>
      </c>
      <c r="G172" s="126" t="s">
        <v>67</v>
      </c>
      <c r="H172" s="116" t="s">
        <v>54</v>
      </c>
      <c r="I172" s="116" t="s">
        <v>54</v>
      </c>
      <c r="J172" s="121" t="s">
        <v>278</v>
      </c>
    </row>
    <row r="173" spans="1:10" s="111" customFormat="1" ht="18" customHeight="1" x14ac:dyDescent="0.3">
      <c r="A173" s="110"/>
      <c r="B173" s="122" t="s">
        <v>1642</v>
      </c>
      <c r="C173" s="122" t="s">
        <v>1592</v>
      </c>
      <c r="D173" s="116" t="s">
        <v>542</v>
      </c>
      <c r="E173" s="123" t="s">
        <v>220</v>
      </c>
      <c r="F173" s="124">
        <v>3200</v>
      </c>
      <c r="G173" s="126" t="s">
        <v>1649</v>
      </c>
      <c r="H173" s="116" t="s">
        <v>64</v>
      </c>
      <c r="I173" s="116" t="s">
        <v>204</v>
      </c>
      <c r="J173" s="121" t="s">
        <v>270</v>
      </c>
    </row>
    <row r="174" spans="1:10" s="111" customFormat="1" ht="18" customHeight="1" x14ac:dyDescent="0.3">
      <c r="A174" s="110"/>
      <c r="B174" s="122" t="s">
        <v>1642</v>
      </c>
      <c r="C174" s="122" t="s">
        <v>1593</v>
      </c>
      <c r="D174" s="116" t="s">
        <v>546</v>
      </c>
      <c r="E174" s="123" t="s">
        <v>43</v>
      </c>
      <c r="F174" s="122">
        <v>162</v>
      </c>
      <c r="G174" s="126" t="s">
        <v>1650</v>
      </c>
      <c r="H174" s="116" t="s">
        <v>546</v>
      </c>
      <c r="I174" s="116" t="s">
        <v>378</v>
      </c>
      <c r="J174" s="121" t="s">
        <v>270</v>
      </c>
    </row>
    <row r="175" spans="1:10" s="111" customFormat="1" ht="18" customHeight="1" x14ac:dyDescent="0.3">
      <c r="A175" s="110"/>
      <c r="B175" s="122" t="s">
        <v>1642</v>
      </c>
      <c r="C175" s="122" t="s">
        <v>1594</v>
      </c>
      <c r="D175" s="116" t="s">
        <v>542</v>
      </c>
      <c r="E175" s="123" t="s">
        <v>220</v>
      </c>
      <c r="F175" s="122">
        <v>700</v>
      </c>
      <c r="G175" s="126" t="s">
        <v>1414</v>
      </c>
      <c r="H175" s="116" t="s">
        <v>1256</v>
      </c>
      <c r="I175" s="116" t="s">
        <v>81</v>
      </c>
      <c r="J175" s="121" t="s">
        <v>270</v>
      </c>
    </row>
    <row r="176" spans="1:10" s="111" customFormat="1" ht="18" customHeight="1" x14ac:dyDescent="0.3">
      <c r="A176" s="110"/>
      <c r="B176" s="122" t="s">
        <v>1642</v>
      </c>
      <c r="C176" s="122" t="s">
        <v>1595</v>
      </c>
      <c r="D176" s="116" t="s">
        <v>379</v>
      </c>
      <c r="E176" s="123" t="s">
        <v>38</v>
      </c>
      <c r="F176" s="122">
        <v>998.1</v>
      </c>
      <c r="G176" s="126" t="s">
        <v>1652</v>
      </c>
      <c r="H176" s="116" t="s">
        <v>64</v>
      </c>
      <c r="I176" s="116" t="s">
        <v>1651</v>
      </c>
      <c r="J176" s="121" t="s">
        <v>270</v>
      </c>
    </row>
    <row r="177" spans="1:11" s="111" customFormat="1" ht="18" customHeight="1" x14ac:dyDescent="0.3">
      <c r="A177" s="110"/>
      <c r="B177" s="122" t="s">
        <v>1642</v>
      </c>
      <c r="C177" s="122" t="s">
        <v>1596</v>
      </c>
      <c r="D177" s="116" t="s">
        <v>264</v>
      </c>
      <c r="E177" s="123" t="s">
        <v>54</v>
      </c>
      <c r="F177" s="124">
        <v>10000</v>
      </c>
      <c r="G177" s="126" t="s">
        <v>67</v>
      </c>
      <c r="H177" s="116" t="s">
        <v>54</v>
      </c>
      <c r="I177" s="116" t="s">
        <v>54</v>
      </c>
      <c r="J177" s="121" t="s">
        <v>278</v>
      </c>
    </row>
    <row r="178" spans="1:11" s="111" customFormat="1" ht="18" customHeight="1" x14ac:dyDescent="0.3">
      <c r="A178" s="110"/>
      <c r="B178" s="122" t="s">
        <v>1642</v>
      </c>
      <c r="C178" s="122" t="s">
        <v>1597</v>
      </c>
      <c r="D178" s="116" t="s">
        <v>546</v>
      </c>
      <c r="E178" s="123" t="s">
        <v>43</v>
      </c>
      <c r="F178" s="122">
        <v>60</v>
      </c>
      <c r="G178" s="126" t="s">
        <v>1653</v>
      </c>
      <c r="H178" s="116" t="s">
        <v>546</v>
      </c>
      <c r="I178" s="116" t="s">
        <v>417</v>
      </c>
      <c r="J178" s="121" t="s">
        <v>270</v>
      </c>
    </row>
    <row r="179" spans="1:11" s="111" customFormat="1" ht="18" customHeight="1" x14ac:dyDescent="0.3">
      <c r="A179" s="110"/>
      <c r="B179" s="122" t="s">
        <v>1642</v>
      </c>
      <c r="C179" s="122" t="s">
        <v>1598</v>
      </c>
      <c r="D179" s="116" t="s">
        <v>379</v>
      </c>
      <c r="E179" s="123" t="s">
        <v>38</v>
      </c>
      <c r="F179" s="124">
        <v>5000</v>
      </c>
      <c r="G179" s="126" t="s">
        <v>1654</v>
      </c>
      <c r="H179" s="116" t="s">
        <v>64</v>
      </c>
      <c r="I179" s="116" t="s">
        <v>1531</v>
      </c>
      <c r="J179" s="121" t="s">
        <v>270</v>
      </c>
    </row>
    <row r="180" spans="1:11" s="111" customFormat="1" ht="18" customHeight="1" x14ac:dyDescent="0.3">
      <c r="A180" s="110"/>
      <c r="B180" s="122" t="s">
        <v>1642</v>
      </c>
      <c r="C180" s="122" t="s">
        <v>1599</v>
      </c>
      <c r="D180" s="116" t="s">
        <v>546</v>
      </c>
      <c r="E180" s="123" t="s">
        <v>43</v>
      </c>
      <c r="F180" s="122">
        <v>315</v>
      </c>
      <c r="G180" s="126" t="s">
        <v>1655</v>
      </c>
      <c r="H180" s="116" t="s">
        <v>546</v>
      </c>
      <c r="I180" s="116" t="s">
        <v>378</v>
      </c>
      <c r="J180" s="121" t="s">
        <v>270</v>
      </c>
    </row>
    <row r="181" spans="1:11" s="111" customFormat="1" ht="18" customHeight="1" x14ac:dyDescent="0.3">
      <c r="A181" s="110"/>
      <c r="B181" s="122" t="s">
        <v>1642</v>
      </c>
      <c r="C181" s="122" t="s">
        <v>1600</v>
      </c>
      <c r="D181" s="116" t="s">
        <v>546</v>
      </c>
      <c r="E181" s="123" t="s">
        <v>43</v>
      </c>
      <c r="F181" s="124">
        <v>1000</v>
      </c>
      <c r="G181" s="126" t="s">
        <v>17</v>
      </c>
      <c r="H181" s="116" t="s">
        <v>1256</v>
      </c>
      <c r="I181" s="116" t="s">
        <v>1576</v>
      </c>
      <c r="J181" s="121" t="s">
        <v>270</v>
      </c>
    </row>
    <row r="182" spans="1:11" s="111" customFormat="1" ht="18" customHeight="1" x14ac:dyDescent="0.3">
      <c r="A182" s="110"/>
      <c r="B182" s="122" t="s">
        <v>1642</v>
      </c>
      <c r="C182" s="122" t="s">
        <v>1601</v>
      </c>
      <c r="D182" s="116" t="s">
        <v>542</v>
      </c>
      <c r="E182" s="123" t="s">
        <v>220</v>
      </c>
      <c r="F182" s="124">
        <v>2500</v>
      </c>
      <c r="G182" s="126" t="s">
        <v>123</v>
      </c>
      <c r="H182" s="116" t="s">
        <v>1257</v>
      </c>
      <c r="I182" s="116" t="s">
        <v>1651</v>
      </c>
      <c r="J182" s="121" t="s">
        <v>270</v>
      </c>
      <c r="K182" s="111">
        <v>2500</v>
      </c>
    </row>
    <row r="183" spans="1:11" s="111" customFormat="1" ht="18" customHeight="1" x14ac:dyDescent="0.3">
      <c r="A183" s="110"/>
      <c r="B183" s="122" t="s">
        <v>1642</v>
      </c>
      <c r="C183" s="122" t="s">
        <v>1602</v>
      </c>
      <c r="D183" s="116" t="s">
        <v>546</v>
      </c>
      <c r="E183" s="123" t="s">
        <v>43</v>
      </c>
      <c r="F183" s="122">
        <v>185</v>
      </c>
      <c r="G183" s="126" t="s">
        <v>1656</v>
      </c>
      <c r="H183" s="116" t="s">
        <v>546</v>
      </c>
      <c r="I183" s="116" t="s">
        <v>378</v>
      </c>
      <c r="J183" s="121" t="s">
        <v>270</v>
      </c>
    </row>
    <row r="184" spans="1:11" s="111" customFormat="1" ht="18" customHeight="1" x14ac:dyDescent="0.3">
      <c r="A184" s="110"/>
      <c r="B184" s="122" t="s">
        <v>1643</v>
      </c>
      <c r="C184" s="122" t="s">
        <v>1603</v>
      </c>
      <c r="D184" s="116" t="s">
        <v>264</v>
      </c>
      <c r="E184" s="123" t="s">
        <v>54</v>
      </c>
      <c r="F184" s="124">
        <v>25000</v>
      </c>
      <c r="G184" s="126" t="s">
        <v>67</v>
      </c>
      <c r="H184" s="116" t="s">
        <v>54</v>
      </c>
      <c r="I184" s="116" t="s">
        <v>54</v>
      </c>
      <c r="J184" s="121" t="s">
        <v>278</v>
      </c>
    </row>
    <row r="185" spans="1:11" s="111" customFormat="1" ht="18" customHeight="1" x14ac:dyDescent="0.3">
      <c r="A185" s="110"/>
      <c r="B185" s="122" t="s">
        <v>1643</v>
      </c>
      <c r="C185" s="122" t="s">
        <v>1604</v>
      </c>
      <c r="D185" s="116" t="s">
        <v>379</v>
      </c>
      <c r="E185" s="123" t="s">
        <v>38</v>
      </c>
      <c r="F185" s="124">
        <v>7000</v>
      </c>
      <c r="G185" s="126" t="s">
        <v>1657</v>
      </c>
      <c r="H185" s="116" t="s">
        <v>64</v>
      </c>
      <c r="I185" s="116" t="s">
        <v>1658</v>
      </c>
      <c r="J185" s="121" t="s">
        <v>270</v>
      </c>
    </row>
    <row r="186" spans="1:11" s="111" customFormat="1" ht="18" customHeight="1" x14ac:dyDescent="0.3">
      <c r="A186" s="110"/>
      <c r="B186" s="122" t="s">
        <v>1643</v>
      </c>
      <c r="C186" s="122" t="s">
        <v>1605</v>
      </c>
      <c r="D186" s="116" t="s">
        <v>546</v>
      </c>
      <c r="E186" s="123" t="s">
        <v>43</v>
      </c>
      <c r="F186" s="124">
        <v>10000</v>
      </c>
      <c r="G186" s="126" t="s">
        <v>65</v>
      </c>
      <c r="H186" s="116" t="s">
        <v>546</v>
      </c>
      <c r="I186" s="116" t="s">
        <v>427</v>
      </c>
      <c r="J186" s="121" t="s">
        <v>270</v>
      </c>
    </row>
    <row r="187" spans="1:11" s="111" customFormat="1" ht="18" customHeight="1" x14ac:dyDescent="0.3">
      <c r="A187" s="110"/>
      <c r="B187" s="122" t="s">
        <v>1643</v>
      </c>
      <c r="C187" s="122" t="s">
        <v>1606</v>
      </c>
      <c r="D187" s="116" t="s">
        <v>546</v>
      </c>
      <c r="E187" s="123" t="s">
        <v>43</v>
      </c>
      <c r="F187" s="124">
        <v>2000</v>
      </c>
      <c r="G187" s="126" t="s">
        <v>65</v>
      </c>
      <c r="H187" s="116" t="s">
        <v>546</v>
      </c>
      <c r="I187" s="116" t="s">
        <v>378</v>
      </c>
      <c r="J187" s="121" t="s">
        <v>270</v>
      </c>
    </row>
    <row r="188" spans="1:11" s="111" customFormat="1" ht="18" customHeight="1" x14ac:dyDescent="0.3">
      <c r="A188" s="110"/>
      <c r="B188" s="122" t="s">
        <v>1643</v>
      </c>
      <c r="C188" s="122" t="s">
        <v>1607</v>
      </c>
      <c r="D188" s="116" t="s">
        <v>546</v>
      </c>
      <c r="E188" s="123" t="s">
        <v>43</v>
      </c>
      <c r="F188" s="122">
        <v>370</v>
      </c>
      <c r="G188" s="126" t="s">
        <v>1659</v>
      </c>
      <c r="H188" s="116" t="s">
        <v>546</v>
      </c>
      <c r="I188" s="116" t="s">
        <v>378</v>
      </c>
      <c r="J188" s="121" t="s">
        <v>270</v>
      </c>
    </row>
    <row r="189" spans="1:11" s="111" customFormat="1" ht="18" customHeight="1" x14ac:dyDescent="0.3">
      <c r="A189" s="110"/>
      <c r="B189" s="122" t="s">
        <v>1643</v>
      </c>
      <c r="C189" s="122" t="s">
        <v>1608</v>
      </c>
      <c r="D189" s="116" t="s">
        <v>546</v>
      </c>
      <c r="E189" s="123" t="s">
        <v>43</v>
      </c>
      <c r="F189" s="122">
        <v>500</v>
      </c>
      <c r="G189" s="126" t="s">
        <v>1254</v>
      </c>
      <c r="H189" s="116" t="s">
        <v>546</v>
      </c>
      <c r="I189" s="116" t="s">
        <v>1660</v>
      </c>
      <c r="J189" s="121" t="s">
        <v>270</v>
      </c>
    </row>
    <row r="190" spans="1:11" s="111" customFormat="1" ht="18" customHeight="1" x14ac:dyDescent="0.3">
      <c r="A190" s="110"/>
      <c r="B190" s="122" t="s">
        <v>1643</v>
      </c>
      <c r="C190" s="122" t="s">
        <v>1609</v>
      </c>
      <c r="D190" s="116" t="s">
        <v>546</v>
      </c>
      <c r="E190" s="123" t="s">
        <v>43</v>
      </c>
      <c r="F190" s="124">
        <v>1049</v>
      </c>
      <c r="G190" s="126" t="s">
        <v>1661</v>
      </c>
      <c r="H190" s="116" t="s">
        <v>546</v>
      </c>
      <c r="I190" s="116" t="s">
        <v>378</v>
      </c>
      <c r="J190" s="121" t="s">
        <v>270</v>
      </c>
    </row>
    <row r="191" spans="1:11" s="111" customFormat="1" ht="18" customHeight="1" x14ac:dyDescent="0.3">
      <c r="A191" s="110"/>
      <c r="B191" s="122" t="s">
        <v>1643</v>
      </c>
      <c r="C191" s="122" t="s">
        <v>1610</v>
      </c>
      <c r="D191" s="116" t="s">
        <v>546</v>
      </c>
      <c r="E191" s="123" t="s">
        <v>43</v>
      </c>
      <c r="F191" s="122">
        <v>75</v>
      </c>
      <c r="G191" s="126" t="s">
        <v>1662</v>
      </c>
      <c r="H191" s="116" t="s">
        <v>546</v>
      </c>
      <c r="I191" s="116" t="s">
        <v>417</v>
      </c>
      <c r="J191" s="121" t="s">
        <v>270</v>
      </c>
    </row>
    <row r="192" spans="1:11" s="111" customFormat="1" ht="18" customHeight="1" x14ac:dyDescent="0.3">
      <c r="A192" s="110"/>
      <c r="B192" s="122" t="s">
        <v>1643</v>
      </c>
      <c r="C192" s="122" t="s">
        <v>1611</v>
      </c>
      <c r="D192" s="116" t="s">
        <v>379</v>
      </c>
      <c r="E192" s="123" t="s">
        <v>38</v>
      </c>
      <c r="F192" s="124">
        <v>8000</v>
      </c>
      <c r="G192" s="126" t="s">
        <v>1663</v>
      </c>
      <c r="H192" s="116" t="s">
        <v>64</v>
      </c>
      <c r="I192" s="116" t="s">
        <v>427</v>
      </c>
      <c r="J192" s="121" t="s">
        <v>270</v>
      </c>
    </row>
    <row r="193" spans="1:11" s="111" customFormat="1" ht="18" customHeight="1" x14ac:dyDescent="0.3">
      <c r="A193" s="110"/>
      <c r="B193" s="122" t="s">
        <v>1643</v>
      </c>
      <c r="C193" s="122" t="s">
        <v>1612</v>
      </c>
      <c r="D193" s="116" t="s">
        <v>546</v>
      </c>
      <c r="E193" s="123" t="s">
        <v>43</v>
      </c>
      <c r="F193" s="124">
        <v>2500</v>
      </c>
      <c r="G193" s="116" t="s">
        <v>1357</v>
      </c>
      <c r="H193" s="116" t="s">
        <v>546</v>
      </c>
      <c r="I193" s="116" t="s">
        <v>398</v>
      </c>
      <c r="J193" s="121" t="s">
        <v>270</v>
      </c>
    </row>
    <row r="194" spans="1:11" s="111" customFormat="1" ht="18" customHeight="1" x14ac:dyDescent="0.3">
      <c r="A194" s="110"/>
      <c r="B194" s="122" t="s">
        <v>1644</v>
      </c>
      <c r="C194" s="122" t="s">
        <v>1613</v>
      </c>
      <c r="D194" s="116" t="s">
        <v>1587</v>
      </c>
      <c r="E194" s="123" t="s">
        <v>41</v>
      </c>
      <c r="F194" s="122">
        <v>36</v>
      </c>
      <c r="G194" s="126" t="s">
        <v>556</v>
      </c>
      <c r="H194" s="116" t="s">
        <v>575</v>
      </c>
      <c r="I194" s="116" t="s">
        <v>417</v>
      </c>
      <c r="J194" s="121" t="s">
        <v>270</v>
      </c>
    </row>
    <row r="195" spans="1:11" s="111" customFormat="1" ht="18" customHeight="1" x14ac:dyDescent="0.3">
      <c r="A195" s="110"/>
      <c r="B195" s="122" t="s">
        <v>1644</v>
      </c>
      <c r="C195" s="122" t="s">
        <v>1614</v>
      </c>
      <c r="D195" s="116" t="s">
        <v>546</v>
      </c>
      <c r="E195" s="123" t="s">
        <v>43</v>
      </c>
      <c r="F195" s="122">
        <v>700</v>
      </c>
      <c r="G195" s="126" t="s">
        <v>12</v>
      </c>
      <c r="H195" s="116" t="s">
        <v>546</v>
      </c>
      <c r="I195" s="116" t="s">
        <v>1576</v>
      </c>
      <c r="J195" s="121" t="s">
        <v>270</v>
      </c>
    </row>
    <row r="196" spans="1:11" s="111" customFormat="1" ht="18" customHeight="1" x14ac:dyDescent="0.3">
      <c r="A196" s="110"/>
      <c r="B196" s="122" t="s">
        <v>1645</v>
      </c>
      <c r="C196" s="122" t="s">
        <v>1615</v>
      </c>
      <c r="D196" s="116" t="s">
        <v>264</v>
      </c>
      <c r="E196" s="123" t="s">
        <v>54</v>
      </c>
      <c r="F196" s="124">
        <v>20000</v>
      </c>
      <c r="G196" s="126" t="s">
        <v>67</v>
      </c>
      <c r="H196" s="116" t="s">
        <v>54</v>
      </c>
      <c r="I196" s="116" t="s">
        <v>54</v>
      </c>
      <c r="J196" s="121" t="s">
        <v>278</v>
      </c>
    </row>
    <row r="197" spans="1:11" s="111" customFormat="1" ht="18" customHeight="1" x14ac:dyDescent="0.3">
      <c r="A197" s="110"/>
      <c r="B197" s="122" t="s">
        <v>1645</v>
      </c>
      <c r="C197" s="122" t="s">
        <v>1616</v>
      </c>
      <c r="D197" s="116" t="s">
        <v>546</v>
      </c>
      <c r="E197" s="123" t="s">
        <v>43</v>
      </c>
      <c r="F197" s="124">
        <v>2000</v>
      </c>
      <c r="G197" s="126" t="s">
        <v>65</v>
      </c>
      <c r="H197" s="116" t="s">
        <v>546</v>
      </c>
      <c r="I197" s="116" t="s">
        <v>427</v>
      </c>
      <c r="J197" s="121" t="s">
        <v>270</v>
      </c>
    </row>
    <row r="198" spans="1:11" s="111" customFormat="1" ht="18" customHeight="1" x14ac:dyDescent="0.3">
      <c r="A198" s="110"/>
      <c r="B198" s="122" t="s">
        <v>1645</v>
      </c>
      <c r="C198" s="122" t="s">
        <v>1617</v>
      </c>
      <c r="D198" s="116" t="s">
        <v>379</v>
      </c>
      <c r="E198" s="123" t="s">
        <v>38</v>
      </c>
      <c r="F198" s="122">
        <v>500</v>
      </c>
      <c r="G198" s="126" t="s">
        <v>1664</v>
      </c>
      <c r="H198" s="116" t="s">
        <v>64</v>
      </c>
      <c r="I198" s="116" t="s">
        <v>204</v>
      </c>
      <c r="J198" s="121" t="s">
        <v>270</v>
      </c>
    </row>
    <row r="199" spans="1:11" s="111" customFormat="1" ht="18" customHeight="1" x14ac:dyDescent="0.3">
      <c r="A199" s="110"/>
      <c r="B199" s="122" t="s">
        <v>1645</v>
      </c>
      <c r="C199" s="122" t="s">
        <v>1618</v>
      </c>
      <c r="D199" s="116" t="s">
        <v>542</v>
      </c>
      <c r="E199" s="123" t="s">
        <v>220</v>
      </c>
      <c r="F199" s="124">
        <v>15000</v>
      </c>
      <c r="G199" s="126" t="s">
        <v>1665</v>
      </c>
      <c r="H199" s="116" t="s">
        <v>1257</v>
      </c>
      <c r="I199" s="116" t="s">
        <v>398</v>
      </c>
      <c r="J199" s="121" t="s">
        <v>270</v>
      </c>
      <c r="K199" s="111">
        <v>15000</v>
      </c>
    </row>
    <row r="200" spans="1:11" s="111" customFormat="1" ht="18" customHeight="1" x14ac:dyDescent="0.3">
      <c r="A200" s="110"/>
      <c r="B200" s="122" t="s">
        <v>1646</v>
      </c>
      <c r="C200" s="122" t="s">
        <v>1619</v>
      </c>
      <c r="D200" s="116" t="s">
        <v>264</v>
      </c>
      <c r="E200" s="123" t="s">
        <v>54</v>
      </c>
      <c r="F200" s="124">
        <v>25000</v>
      </c>
      <c r="G200" s="126" t="s">
        <v>67</v>
      </c>
      <c r="H200" s="116" t="s">
        <v>54</v>
      </c>
      <c r="I200" s="116" t="s">
        <v>54</v>
      </c>
      <c r="J200" s="121" t="s">
        <v>278</v>
      </c>
    </row>
    <row r="201" spans="1:11" s="111" customFormat="1" ht="18" customHeight="1" x14ac:dyDescent="0.3">
      <c r="A201" s="110"/>
      <c r="B201" s="122" t="s">
        <v>1646</v>
      </c>
      <c r="C201" s="122" t="s">
        <v>1620</v>
      </c>
      <c r="D201" s="116" t="s">
        <v>379</v>
      </c>
      <c r="E201" s="123" t="s">
        <v>38</v>
      </c>
      <c r="F201" s="124">
        <v>25000</v>
      </c>
      <c r="G201" s="126" t="s">
        <v>1666</v>
      </c>
      <c r="H201" s="116" t="s">
        <v>64</v>
      </c>
      <c r="I201" s="116" t="s">
        <v>1667</v>
      </c>
      <c r="J201" s="121" t="s">
        <v>270</v>
      </c>
    </row>
    <row r="202" spans="1:11" s="111" customFormat="1" ht="18" customHeight="1" x14ac:dyDescent="0.3">
      <c r="A202" s="110"/>
      <c r="B202" s="122" t="s">
        <v>1646</v>
      </c>
      <c r="C202" s="122" t="s">
        <v>1621</v>
      </c>
      <c r="D202" s="116" t="s">
        <v>546</v>
      </c>
      <c r="E202" s="123" t="s">
        <v>43</v>
      </c>
      <c r="F202" s="122">
        <v>500</v>
      </c>
      <c r="G202" s="126" t="s">
        <v>12</v>
      </c>
      <c r="H202" s="116" t="s">
        <v>546</v>
      </c>
      <c r="I202" s="116" t="s">
        <v>1382</v>
      </c>
      <c r="J202" s="121" t="s">
        <v>270</v>
      </c>
    </row>
    <row r="203" spans="1:11" s="111" customFormat="1" ht="18" customHeight="1" x14ac:dyDescent="0.3">
      <c r="A203" s="110"/>
      <c r="B203" s="122" t="s">
        <v>1646</v>
      </c>
      <c r="C203" s="122" t="s">
        <v>1622</v>
      </c>
      <c r="D203" s="116" t="s">
        <v>542</v>
      </c>
      <c r="E203" s="123" t="s">
        <v>220</v>
      </c>
      <c r="F203" s="122">
        <v>500</v>
      </c>
      <c r="G203" s="126" t="s">
        <v>1657</v>
      </c>
      <c r="H203" s="116" t="s">
        <v>1254</v>
      </c>
      <c r="I203" s="116" t="s">
        <v>1412</v>
      </c>
      <c r="J203" s="121" t="s">
        <v>270</v>
      </c>
      <c r="K203" s="111">
        <v>500</v>
      </c>
    </row>
    <row r="204" spans="1:11" s="111" customFormat="1" ht="18" customHeight="1" x14ac:dyDescent="0.3">
      <c r="A204" s="110"/>
      <c r="B204" s="122" t="s">
        <v>1646</v>
      </c>
      <c r="C204" s="122" t="s">
        <v>1623</v>
      </c>
      <c r="D204" s="116" t="s">
        <v>542</v>
      </c>
      <c r="E204" s="123" t="s">
        <v>220</v>
      </c>
      <c r="F204" s="122">
        <v>600</v>
      </c>
      <c r="G204" s="126" t="s">
        <v>1414</v>
      </c>
      <c r="H204" s="116" t="s">
        <v>1256</v>
      </c>
      <c r="I204" s="116" t="s">
        <v>81</v>
      </c>
      <c r="J204" s="121" t="s">
        <v>270</v>
      </c>
    </row>
    <row r="205" spans="1:11" s="111" customFormat="1" ht="18" customHeight="1" x14ac:dyDescent="0.3">
      <c r="A205" s="110"/>
      <c r="B205" s="122" t="s">
        <v>1646</v>
      </c>
      <c r="C205" s="122" t="s">
        <v>1624</v>
      </c>
      <c r="D205" s="116" t="s">
        <v>546</v>
      </c>
      <c r="E205" s="123" t="s">
        <v>43</v>
      </c>
      <c r="F205" s="122">
        <v>500</v>
      </c>
      <c r="G205" s="126" t="s">
        <v>12</v>
      </c>
      <c r="H205" s="116" t="s">
        <v>1254</v>
      </c>
      <c r="I205" s="116" t="s">
        <v>1668</v>
      </c>
      <c r="J205" s="121" t="s">
        <v>270</v>
      </c>
    </row>
    <row r="206" spans="1:11" s="111" customFormat="1" ht="18" customHeight="1" x14ac:dyDescent="0.3">
      <c r="A206" s="110"/>
      <c r="B206" s="122" t="s">
        <v>1646</v>
      </c>
      <c r="C206" s="122" t="s">
        <v>1625</v>
      </c>
      <c r="D206" s="116" t="s">
        <v>264</v>
      </c>
      <c r="E206" s="123" t="s">
        <v>54</v>
      </c>
      <c r="F206" s="124">
        <v>175000</v>
      </c>
      <c r="G206" s="126" t="s">
        <v>67</v>
      </c>
      <c r="H206" s="116" t="s">
        <v>54</v>
      </c>
      <c r="I206" s="116" t="s">
        <v>54</v>
      </c>
      <c r="J206" s="121" t="s">
        <v>278</v>
      </c>
    </row>
    <row r="207" spans="1:11" s="111" customFormat="1" ht="18" customHeight="1" x14ac:dyDescent="0.3">
      <c r="A207" s="110"/>
      <c r="B207" s="122" t="s">
        <v>1646</v>
      </c>
      <c r="C207" s="122" t="s">
        <v>1626</v>
      </c>
      <c r="D207" s="116" t="s">
        <v>264</v>
      </c>
      <c r="E207" s="123" t="s">
        <v>54</v>
      </c>
      <c r="F207" s="124">
        <v>200000</v>
      </c>
      <c r="G207" s="126" t="s">
        <v>67</v>
      </c>
      <c r="H207" s="116" t="s">
        <v>54</v>
      </c>
      <c r="I207" s="116" t="s">
        <v>54</v>
      </c>
      <c r="J207" s="121" t="s">
        <v>278</v>
      </c>
    </row>
    <row r="208" spans="1:11" s="111" customFormat="1" ht="18" customHeight="1" x14ac:dyDescent="0.3">
      <c r="A208" s="110"/>
      <c r="B208" s="122" t="s">
        <v>1646</v>
      </c>
      <c r="C208" s="122" t="s">
        <v>1627</v>
      </c>
      <c r="D208" s="116" t="s">
        <v>1587</v>
      </c>
      <c r="E208" s="123" t="s">
        <v>41</v>
      </c>
      <c r="F208" s="124">
        <v>3000</v>
      </c>
      <c r="G208" s="126" t="s">
        <v>1253</v>
      </c>
      <c r="H208" s="116" t="s">
        <v>575</v>
      </c>
      <c r="I208" s="116" t="s">
        <v>47</v>
      </c>
      <c r="J208" s="121" t="s">
        <v>270</v>
      </c>
    </row>
    <row r="209" spans="1:11" s="111" customFormat="1" ht="18" customHeight="1" x14ac:dyDescent="0.3">
      <c r="A209" s="110"/>
      <c r="B209" s="122" t="s">
        <v>1646</v>
      </c>
      <c r="C209" s="122" t="s">
        <v>1628</v>
      </c>
      <c r="D209" s="116" t="s">
        <v>1587</v>
      </c>
      <c r="E209" s="123" t="s">
        <v>41</v>
      </c>
      <c r="F209" s="124">
        <v>1500</v>
      </c>
      <c r="G209" s="126" t="s">
        <v>1584</v>
      </c>
      <c r="H209" s="116" t="s">
        <v>575</v>
      </c>
      <c r="I209" s="116" t="s">
        <v>47</v>
      </c>
      <c r="J209" s="121" t="s">
        <v>270</v>
      </c>
    </row>
    <row r="210" spans="1:11" s="111" customFormat="1" ht="18" customHeight="1" x14ac:dyDescent="0.3">
      <c r="A210" s="110"/>
      <c r="B210" s="122" t="s">
        <v>1646</v>
      </c>
      <c r="C210" s="122" t="s">
        <v>1629</v>
      </c>
      <c r="D210" s="116" t="s">
        <v>542</v>
      </c>
      <c r="E210" s="123" t="s">
        <v>220</v>
      </c>
      <c r="F210" s="124">
        <v>15500</v>
      </c>
      <c r="G210" s="126" t="s">
        <v>103</v>
      </c>
      <c r="H210" s="116" t="s">
        <v>1669</v>
      </c>
      <c r="I210" s="116" t="s">
        <v>89</v>
      </c>
      <c r="J210" s="121" t="s">
        <v>270</v>
      </c>
      <c r="K210" s="111">
        <f>15500/3</f>
        <v>5166.666666666667</v>
      </c>
    </row>
    <row r="211" spans="1:11" s="111" customFormat="1" ht="18" customHeight="1" x14ac:dyDescent="0.3">
      <c r="A211" s="110"/>
      <c r="B211" s="122" t="s">
        <v>1646</v>
      </c>
      <c r="C211" s="122" t="s">
        <v>1630</v>
      </c>
      <c r="D211" s="116" t="s">
        <v>542</v>
      </c>
      <c r="E211" s="123" t="s">
        <v>220</v>
      </c>
      <c r="F211" s="124">
        <v>50000</v>
      </c>
      <c r="G211" s="126" t="s">
        <v>1356</v>
      </c>
      <c r="H211" s="116" t="s">
        <v>1669</v>
      </c>
      <c r="I211" s="116" t="s">
        <v>79</v>
      </c>
      <c r="J211" s="121" t="s">
        <v>270</v>
      </c>
      <c r="K211" s="111">
        <f>50000/3</f>
        <v>16666.666666666668</v>
      </c>
    </row>
    <row r="212" spans="1:11" s="111" customFormat="1" ht="18" customHeight="1" x14ac:dyDescent="0.3">
      <c r="A212" s="110"/>
      <c r="B212" s="122" t="s">
        <v>1646</v>
      </c>
      <c r="C212" s="122" t="s">
        <v>1631</v>
      </c>
      <c r="D212" s="116" t="s">
        <v>546</v>
      </c>
      <c r="E212" s="123" t="s">
        <v>43</v>
      </c>
      <c r="F212" s="124">
        <v>30000</v>
      </c>
      <c r="G212" s="126" t="s">
        <v>1357</v>
      </c>
      <c r="H212" s="116" t="s">
        <v>1265</v>
      </c>
      <c r="I212" s="116" t="s">
        <v>398</v>
      </c>
      <c r="J212" s="121" t="s">
        <v>270</v>
      </c>
    </row>
    <row r="213" spans="1:11" s="111" customFormat="1" ht="18" customHeight="1" x14ac:dyDescent="0.3">
      <c r="A213" s="110"/>
      <c r="B213" s="122" t="s">
        <v>1646</v>
      </c>
      <c r="C213" s="122" t="s">
        <v>1632</v>
      </c>
      <c r="D213" s="116" t="s">
        <v>384</v>
      </c>
      <c r="E213" s="123" t="s">
        <v>35</v>
      </c>
      <c r="F213" s="124">
        <v>8000</v>
      </c>
      <c r="G213" s="126" t="s">
        <v>1393</v>
      </c>
      <c r="H213" s="116" t="s">
        <v>1669</v>
      </c>
      <c r="I213" s="116" t="s">
        <v>1670</v>
      </c>
      <c r="J213" s="121" t="s">
        <v>270</v>
      </c>
      <c r="K213" s="111">
        <f>8000/3</f>
        <v>2666.6666666666665</v>
      </c>
    </row>
    <row r="214" spans="1:11" s="111" customFormat="1" ht="18" customHeight="1" x14ac:dyDescent="0.3">
      <c r="A214" s="110"/>
      <c r="B214" s="122" t="s">
        <v>1646</v>
      </c>
      <c r="C214" s="122" t="s">
        <v>1633</v>
      </c>
      <c r="D214" s="116" t="s">
        <v>542</v>
      </c>
      <c r="E214" s="123" t="s">
        <v>220</v>
      </c>
      <c r="F214" s="124">
        <v>11450</v>
      </c>
      <c r="G214" s="126" t="s">
        <v>600</v>
      </c>
      <c r="H214" s="116" t="s">
        <v>1671</v>
      </c>
      <c r="I214" s="116" t="s">
        <v>81</v>
      </c>
      <c r="J214" s="121" t="s">
        <v>270</v>
      </c>
      <c r="K214" s="111">
        <f>F214/2</f>
        <v>5725</v>
      </c>
    </row>
    <row r="215" spans="1:11" s="111" customFormat="1" ht="18" customHeight="1" x14ac:dyDescent="0.3">
      <c r="A215" s="110"/>
      <c r="B215" s="122" t="s">
        <v>1646</v>
      </c>
      <c r="C215" s="122" t="s">
        <v>1634</v>
      </c>
      <c r="D215" s="116" t="s">
        <v>384</v>
      </c>
      <c r="E215" s="123" t="s">
        <v>35</v>
      </c>
      <c r="F215" s="124">
        <v>40000</v>
      </c>
      <c r="G215" s="126" t="s">
        <v>1672</v>
      </c>
      <c r="H215" s="116" t="s">
        <v>1257</v>
      </c>
      <c r="I215" s="116" t="s">
        <v>398</v>
      </c>
      <c r="J215" s="121" t="s">
        <v>270</v>
      </c>
      <c r="K215" s="111">
        <v>40000</v>
      </c>
    </row>
    <row r="216" spans="1:11" s="111" customFormat="1" ht="18" customHeight="1" x14ac:dyDescent="0.3">
      <c r="A216" s="110"/>
      <c r="B216" s="122" t="s">
        <v>1646</v>
      </c>
      <c r="C216" s="122" t="s">
        <v>1635</v>
      </c>
      <c r="D216" s="116" t="s">
        <v>1587</v>
      </c>
      <c r="E216" s="123" t="s">
        <v>41</v>
      </c>
      <c r="F216" s="124">
        <v>1750</v>
      </c>
      <c r="G216" s="126" t="s">
        <v>94</v>
      </c>
      <c r="H216" s="116" t="s">
        <v>575</v>
      </c>
      <c r="I216" s="116" t="s">
        <v>586</v>
      </c>
      <c r="J216" s="121" t="s">
        <v>270</v>
      </c>
    </row>
    <row r="217" spans="1:11" s="111" customFormat="1" ht="18" customHeight="1" x14ac:dyDescent="0.3">
      <c r="A217" s="110"/>
      <c r="B217" s="122" t="s">
        <v>1646</v>
      </c>
      <c r="C217" s="122" t="s">
        <v>1636</v>
      </c>
      <c r="D217" s="116" t="s">
        <v>1587</v>
      </c>
      <c r="E217" s="123" t="s">
        <v>41</v>
      </c>
      <c r="F217" s="124">
        <v>2750</v>
      </c>
      <c r="G217" s="126" t="s">
        <v>1673</v>
      </c>
      <c r="H217" s="116" t="s">
        <v>575</v>
      </c>
      <c r="I217" s="116" t="s">
        <v>924</v>
      </c>
      <c r="J217" s="121" t="s">
        <v>270</v>
      </c>
    </row>
    <row r="218" spans="1:11" s="111" customFormat="1" ht="18" customHeight="1" x14ac:dyDescent="0.3">
      <c r="A218" s="110"/>
      <c r="B218" s="122" t="s">
        <v>1646</v>
      </c>
      <c r="C218" s="122" t="s">
        <v>1637</v>
      </c>
      <c r="D218" s="116" t="s">
        <v>1587</v>
      </c>
      <c r="E218" s="123" t="s">
        <v>41</v>
      </c>
      <c r="F218" s="124">
        <v>1120</v>
      </c>
      <c r="G218" s="126" t="s">
        <v>1408</v>
      </c>
      <c r="H218" s="116" t="s">
        <v>575</v>
      </c>
      <c r="I218" s="116" t="s">
        <v>1674</v>
      </c>
      <c r="J218" s="121" t="s">
        <v>270</v>
      </c>
    </row>
    <row r="219" spans="1:11" s="111" customFormat="1" ht="18" customHeight="1" x14ac:dyDescent="0.3">
      <c r="A219" s="110"/>
      <c r="B219" s="122" t="s">
        <v>1646</v>
      </c>
      <c r="C219" s="122" t="s">
        <v>1638</v>
      </c>
      <c r="D219" s="116" t="s">
        <v>542</v>
      </c>
      <c r="E219" s="123" t="s">
        <v>220</v>
      </c>
      <c r="F219" s="124">
        <v>7000</v>
      </c>
      <c r="G219" s="126" t="s">
        <v>1675</v>
      </c>
      <c r="H219" s="116" t="s">
        <v>1254</v>
      </c>
      <c r="I219" s="116" t="s">
        <v>1676</v>
      </c>
      <c r="J219" s="121" t="s">
        <v>270</v>
      </c>
      <c r="K219" s="111">
        <v>7000</v>
      </c>
    </row>
    <row r="220" spans="1:11" s="111" customFormat="1" ht="18" customHeight="1" x14ac:dyDescent="0.3">
      <c r="A220" s="110"/>
      <c r="B220" s="122" t="s">
        <v>1646</v>
      </c>
      <c r="C220" s="122" t="s">
        <v>1639</v>
      </c>
      <c r="D220" s="116" t="s">
        <v>379</v>
      </c>
      <c r="E220" s="123" t="s">
        <v>38</v>
      </c>
      <c r="F220" s="122">
        <v>500</v>
      </c>
      <c r="G220" s="126" t="s">
        <v>1677</v>
      </c>
      <c r="H220" s="116" t="s">
        <v>64</v>
      </c>
      <c r="I220" s="116" t="s">
        <v>380</v>
      </c>
      <c r="J220" s="121" t="s">
        <v>270</v>
      </c>
    </row>
    <row r="221" spans="1:11" s="111" customFormat="1" ht="18" customHeight="1" x14ac:dyDescent="0.3">
      <c r="A221" s="110"/>
      <c r="B221" s="122" t="s">
        <v>1646</v>
      </c>
      <c r="C221" s="122" t="s">
        <v>1640</v>
      </c>
      <c r="D221" s="116" t="s">
        <v>542</v>
      </c>
      <c r="E221" s="123" t="s">
        <v>220</v>
      </c>
      <c r="F221" s="122">
        <v>400</v>
      </c>
      <c r="G221" s="126" t="s">
        <v>17</v>
      </c>
      <c r="H221" s="116" t="s">
        <v>1256</v>
      </c>
      <c r="I221" s="116" t="s">
        <v>1371</v>
      </c>
      <c r="J221" s="121" t="s">
        <v>270</v>
      </c>
    </row>
    <row r="222" spans="1:11" x14ac:dyDescent="0.2">
      <c r="K222" s="105">
        <f>SUBTOTAL(9,K17:K221)</f>
        <v>273537</v>
      </c>
    </row>
  </sheetData>
  <autoFilter ref="A1:AB221" xr:uid="{821185F9-0729-43F7-97FE-BDFC6EF439E2}"/>
  <hyperlinks>
    <hyperlink ref="G165" r:id="rId1" xr:uid="{00000000-0004-0000-0200-000000000000}"/>
    <hyperlink ref="G168" r:id="rId2" xr:uid="{00000000-0004-0000-0200-000001000000}"/>
  </hyperlinks>
  <pageMargins left="0.23622047244094491" right="0.23622047244094491" top="0.74803149606299213" bottom="0.74803149606299213" header="0.31496062992125984" footer="0.31496062992125984"/>
  <pageSetup paperSize="9" orientation="landscape" horizontalDpi="300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7"/>
  <sheetViews>
    <sheetView workbookViewId="0">
      <selection activeCell="D7" sqref="D7"/>
    </sheetView>
  </sheetViews>
  <sheetFormatPr defaultRowHeight="15" x14ac:dyDescent="0.25"/>
  <cols>
    <col min="4" max="4" width="21.42578125" customWidth="1"/>
  </cols>
  <sheetData>
    <row r="7" spans="4:4" x14ac:dyDescent="0.25">
      <c r="D7">
        <v>7550299105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78"/>
  <sheetViews>
    <sheetView topLeftCell="A16" workbookViewId="0">
      <selection activeCell="A3" sqref="A3:XFD3"/>
    </sheetView>
  </sheetViews>
  <sheetFormatPr defaultRowHeight="15" x14ac:dyDescent="0.25"/>
  <cols>
    <col min="1" max="1" width="5.7109375" customWidth="1"/>
    <col min="2" max="2" width="12.140625" customWidth="1"/>
    <col min="3" max="3" width="81" hidden="1" customWidth="1"/>
    <col min="4" max="4" width="25" customWidth="1"/>
    <col min="6" max="6" width="11.5703125" customWidth="1"/>
    <col min="7" max="7" width="30.42578125" customWidth="1"/>
    <col min="8" max="8" width="25.28515625" customWidth="1"/>
    <col min="9" max="9" width="23.85546875" customWidth="1"/>
  </cols>
  <sheetData>
    <row r="1" spans="1:11" ht="27" customHeight="1" x14ac:dyDescent="0.25">
      <c r="B1" s="32" t="s">
        <v>265</v>
      </c>
      <c r="C1" s="33"/>
      <c r="D1" s="34"/>
      <c r="E1" s="35"/>
      <c r="F1" s="36"/>
      <c r="G1" s="34"/>
      <c r="H1" s="34"/>
      <c r="I1" s="34"/>
    </row>
    <row r="2" spans="1:11" ht="26.25" customHeight="1" x14ac:dyDescent="0.25">
      <c r="B2" s="60" t="s">
        <v>635</v>
      </c>
      <c r="C2" s="61"/>
      <c r="D2" s="62"/>
      <c r="E2" s="63"/>
      <c r="F2" s="66"/>
      <c r="G2" s="64"/>
      <c r="H2" s="65"/>
      <c r="I2" s="62"/>
    </row>
    <row r="3" spans="1:11" ht="15.75" customHeight="1" x14ac:dyDescent="0.25">
      <c r="A3" s="22" t="s">
        <v>571</v>
      </c>
      <c r="B3" s="22" t="s">
        <v>31</v>
      </c>
      <c r="C3" s="23" t="s">
        <v>630</v>
      </c>
      <c r="D3" s="22" t="s">
        <v>256</v>
      </c>
      <c r="E3" s="26" t="s">
        <v>259</v>
      </c>
      <c r="F3" s="27" t="s">
        <v>260</v>
      </c>
      <c r="G3" s="24" t="s">
        <v>257</v>
      </c>
      <c r="H3" s="22" t="s">
        <v>258</v>
      </c>
      <c r="I3" s="22"/>
      <c r="J3" t="s">
        <v>713</v>
      </c>
    </row>
    <row r="4" spans="1:11" ht="15.75" customHeight="1" x14ac:dyDescent="0.25">
      <c r="A4" s="83">
        <v>1</v>
      </c>
      <c r="B4" s="59" t="s">
        <v>636</v>
      </c>
      <c r="C4" s="59" t="s">
        <v>637</v>
      </c>
      <c r="D4" s="59" t="s">
        <v>714</v>
      </c>
      <c r="E4" s="30" t="s">
        <v>220</v>
      </c>
      <c r="F4" s="30">
        <v>3000</v>
      </c>
      <c r="G4" s="59" t="s">
        <v>429</v>
      </c>
      <c r="H4" s="59" t="s">
        <v>923</v>
      </c>
      <c r="I4" s="59" t="s">
        <v>422</v>
      </c>
      <c r="J4" t="s">
        <v>270</v>
      </c>
    </row>
    <row r="5" spans="1:11" ht="15.75" customHeight="1" x14ac:dyDescent="0.25">
      <c r="A5" s="83">
        <v>2</v>
      </c>
      <c r="B5" s="59" t="s">
        <v>638</v>
      </c>
      <c r="C5" s="59" t="s">
        <v>639</v>
      </c>
      <c r="D5" s="59" t="s">
        <v>622</v>
      </c>
      <c r="E5" s="30" t="s">
        <v>38</v>
      </c>
      <c r="F5" s="30">
        <v>405.32</v>
      </c>
      <c r="G5" s="59" t="s">
        <v>65</v>
      </c>
      <c r="H5" s="59" t="s">
        <v>64</v>
      </c>
      <c r="I5" s="59" t="s">
        <v>204</v>
      </c>
      <c r="J5" t="s">
        <v>270</v>
      </c>
    </row>
    <row r="6" spans="1:11" ht="15.75" customHeight="1" x14ac:dyDescent="0.25">
      <c r="A6" s="83">
        <v>3</v>
      </c>
      <c r="B6" s="59" t="s">
        <v>638</v>
      </c>
      <c r="C6" s="59" t="s">
        <v>640</v>
      </c>
      <c r="D6" s="59" t="s">
        <v>59</v>
      </c>
      <c r="E6" s="30" t="s">
        <v>43</v>
      </c>
      <c r="F6" s="30">
        <v>2000</v>
      </c>
      <c r="G6" s="59" t="s">
        <v>557</v>
      </c>
      <c r="H6" s="59" t="s">
        <v>923</v>
      </c>
      <c r="I6" s="59" t="s">
        <v>546</v>
      </c>
      <c r="J6" t="s">
        <v>270</v>
      </c>
      <c r="K6" t="s">
        <v>1071</v>
      </c>
    </row>
    <row r="7" spans="1:11" ht="15.75" customHeight="1" x14ac:dyDescent="0.25">
      <c r="A7" s="83">
        <v>4</v>
      </c>
      <c r="B7" s="59" t="s">
        <v>638</v>
      </c>
      <c r="C7" s="59" t="s">
        <v>641</v>
      </c>
      <c r="D7" s="59" t="s">
        <v>716</v>
      </c>
      <c r="E7" s="30" t="s">
        <v>220</v>
      </c>
      <c r="F7" s="30">
        <v>1800</v>
      </c>
      <c r="G7" s="59" t="s">
        <v>103</v>
      </c>
      <c r="H7" s="59" t="s">
        <v>1070</v>
      </c>
      <c r="I7" s="59" t="s">
        <v>715</v>
      </c>
      <c r="J7" t="s">
        <v>270</v>
      </c>
      <c r="K7">
        <v>900</v>
      </c>
    </row>
    <row r="8" spans="1:11" ht="15.75" customHeight="1" x14ac:dyDescent="0.25">
      <c r="A8" s="83">
        <v>5</v>
      </c>
      <c r="B8" s="59" t="s">
        <v>638</v>
      </c>
      <c r="C8" s="59" t="s">
        <v>642</v>
      </c>
      <c r="D8" s="59" t="s">
        <v>716</v>
      </c>
      <c r="E8" s="30" t="s">
        <v>220</v>
      </c>
      <c r="F8" s="30">
        <v>2800</v>
      </c>
      <c r="G8" s="59" t="s">
        <v>600</v>
      </c>
      <c r="H8" s="59" t="s">
        <v>1072</v>
      </c>
      <c r="I8" s="59" t="s">
        <v>717</v>
      </c>
      <c r="J8" t="s">
        <v>270</v>
      </c>
    </row>
    <row r="9" spans="1:11" ht="15.75" customHeight="1" x14ac:dyDescent="0.25">
      <c r="A9" s="83">
        <v>6</v>
      </c>
      <c r="B9" s="59" t="s">
        <v>638</v>
      </c>
      <c r="C9" s="59" t="s">
        <v>643</v>
      </c>
      <c r="D9" s="59" t="s">
        <v>605</v>
      </c>
      <c r="E9" s="30" t="s">
        <v>35</v>
      </c>
      <c r="F9" s="30">
        <v>2000</v>
      </c>
      <c r="G9" s="59" t="s">
        <v>718</v>
      </c>
      <c r="H9" s="59" t="s">
        <v>390</v>
      </c>
      <c r="I9" s="59" t="s">
        <v>587</v>
      </c>
      <c r="J9" t="s">
        <v>270</v>
      </c>
    </row>
    <row r="10" spans="1:11" ht="15.75" customHeight="1" x14ac:dyDescent="0.25">
      <c r="A10" s="83">
        <v>7</v>
      </c>
      <c r="B10" s="59" t="s">
        <v>638</v>
      </c>
      <c r="C10" s="59" t="s">
        <v>644</v>
      </c>
      <c r="D10" s="59" t="s">
        <v>605</v>
      </c>
      <c r="E10" s="30" t="s">
        <v>35</v>
      </c>
      <c r="F10" s="30">
        <v>4544</v>
      </c>
      <c r="G10" s="59" t="s">
        <v>718</v>
      </c>
      <c r="H10" s="59" t="s">
        <v>390</v>
      </c>
      <c r="I10" s="59" t="s">
        <v>587</v>
      </c>
      <c r="J10" t="s">
        <v>270</v>
      </c>
    </row>
    <row r="11" spans="1:11" ht="15.75" customHeight="1" x14ac:dyDescent="0.25">
      <c r="A11" s="83">
        <v>8</v>
      </c>
      <c r="B11" s="59" t="s">
        <v>638</v>
      </c>
      <c r="C11" s="59" t="s">
        <v>645</v>
      </c>
      <c r="D11" s="59" t="s">
        <v>622</v>
      </c>
      <c r="E11" s="30" t="s">
        <v>38</v>
      </c>
      <c r="F11" s="30">
        <v>50</v>
      </c>
      <c r="G11" s="59" t="s">
        <v>402</v>
      </c>
      <c r="H11" s="59" t="s">
        <v>64</v>
      </c>
      <c r="I11" s="59" t="s">
        <v>417</v>
      </c>
      <c r="J11" t="s">
        <v>270</v>
      </c>
    </row>
    <row r="12" spans="1:11" ht="15.75" customHeight="1" x14ac:dyDescent="0.25">
      <c r="A12" s="83">
        <v>9</v>
      </c>
      <c r="B12" s="59" t="s">
        <v>638</v>
      </c>
      <c r="C12" s="59" t="s">
        <v>646</v>
      </c>
      <c r="D12" s="59" t="s">
        <v>622</v>
      </c>
      <c r="E12" s="30" t="s">
        <v>38</v>
      </c>
      <c r="F12" s="30">
        <v>70</v>
      </c>
      <c r="G12" s="59" t="s">
        <v>719</v>
      </c>
      <c r="H12" s="59" t="s">
        <v>64</v>
      </c>
      <c r="I12" s="59" t="s">
        <v>417</v>
      </c>
      <c r="J12" t="s">
        <v>270</v>
      </c>
    </row>
    <row r="13" spans="1:11" ht="15.75" customHeight="1" x14ac:dyDescent="0.25">
      <c r="A13" s="83">
        <v>10</v>
      </c>
      <c r="B13" s="59" t="s">
        <v>638</v>
      </c>
      <c r="C13" s="59" t="s">
        <v>647</v>
      </c>
      <c r="D13" s="59" t="s">
        <v>720</v>
      </c>
      <c r="E13" s="30" t="s">
        <v>43</v>
      </c>
      <c r="F13" s="30">
        <v>15000</v>
      </c>
      <c r="G13" s="59" t="s">
        <v>722</v>
      </c>
      <c r="H13" s="59" t="s">
        <v>574</v>
      </c>
      <c r="I13" s="59" t="s">
        <v>721</v>
      </c>
      <c r="J13" t="s">
        <v>270</v>
      </c>
    </row>
    <row r="14" spans="1:11" ht="15.75" customHeight="1" x14ac:dyDescent="0.25">
      <c r="A14" s="83">
        <v>11</v>
      </c>
      <c r="B14" s="59" t="s">
        <v>638</v>
      </c>
      <c r="C14" s="59" t="s">
        <v>648</v>
      </c>
      <c r="D14" s="59" t="s">
        <v>605</v>
      </c>
      <c r="E14" s="30" t="s">
        <v>35</v>
      </c>
      <c r="F14" s="30">
        <v>8782</v>
      </c>
      <c r="G14" s="59" t="s">
        <v>723</v>
      </c>
      <c r="H14" s="59" t="s">
        <v>390</v>
      </c>
      <c r="I14" s="59" t="s">
        <v>1250</v>
      </c>
      <c r="J14" t="s">
        <v>270</v>
      </c>
    </row>
    <row r="15" spans="1:11" ht="15.75" customHeight="1" x14ac:dyDescent="0.25">
      <c r="A15" s="83">
        <v>12</v>
      </c>
      <c r="B15" s="59" t="s">
        <v>638</v>
      </c>
      <c r="C15" s="59" t="s">
        <v>649</v>
      </c>
      <c r="D15" s="59" t="s">
        <v>59</v>
      </c>
      <c r="E15" s="30" t="s">
        <v>43</v>
      </c>
      <c r="F15" s="30">
        <v>59500</v>
      </c>
      <c r="G15" s="59" t="s">
        <v>724</v>
      </c>
      <c r="H15" s="59" t="s">
        <v>574</v>
      </c>
      <c r="I15" s="59" t="s">
        <v>599</v>
      </c>
      <c r="J15" t="s">
        <v>270</v>
      </c>
    </row>
    <row r="16" spans="1:11" ht="15.75" customHeight="1" x14ac:dyDescent="0.25">
      <c r="A16" s="83">
        <v>13</v>
      </c>
      <c r="B16" s="59" t="s">
        <v>650</v>
      </c>
      <c r="C16" s="59" t="s">
        <v>651</v>
      </c>
      <c r="D16" s="59" t="s">
        <v>59</v>
      </c>
      <c r="E16" s="30" t="s">
        <v>43</v>
      </c>
      <c r="F16" s="30">
        <v>2000</v>
      </c>
      <c r="G16" s="59" t="s">
        <v>557</v>
      </c>
      <c r="H16" s="59" t="s">
        <v>595</v>
      </c>
      <c r="I16" s="59" t="s">
        <v>725</v>
      </c>
      <c r="J16" t="s">
        <v>270</v>
      </c>
    </row>
    <row r="17" spans="1:10" ht="15.75" customHeight="1" x14ac:dyDescent="0.25">
      <c r="A17" s="83">
        <v>14</v>
      </c>
      <c r="B17" s="59" t="s">
        <v>650</v>
      </c>
      <c r="C17" s="59" t="s">
        <v>652</v>
      </c>
      <c r="D17" s="59" t="s">
        <v>411</v>
      </c>
      <c r="E17" s="30" t="s">
        <v>41</v>
      </c>
      <c r="F17" s="30">
        <v>300</v>
      </c>
      <c r="G17" s="59" t="s">
        <v>576</v>
      </c>
      <c r="H17" s="59" t="s">
        <v>575</v>
      </c>
      <c r="I17" s="59" t="s">
        <v>204</v>
      </c>
      <c r="J17" t="s">
        <v>270</v>
      </c>
    </row>
    <row r="18" spans="1:10" ht="15.75" customHeight="1" x14ac:dyDescent="0.25">
      <c r="A18" s="83">
        <v>15</v>
      </c>
      <c r="B18" s="59" t="s">
        <v>650</v>
      </c>
      <c r="C18" s="59" t="s">
        <v>653</v>
      </c>
      <c r="D18" s="59" t="s">
        <v>264</v>
      </c>
      <c r="E18" s="30" t="s">
        <v>54</v>
      </c>
      <c r="F18" s="30">
        <v>40000</v>
      </c>
      <c r="G18" s="59" t="s">
        <v>67</v>
      </c>
      <c r="H18" s="59" t="s">
        <v>54</v>
      </c>
      <c r="I18" s="59" t="s">
        <v>264</v>
      </c>
      <c r="J18" t="s">
        <v>278</v>
      </c>
    </row>
    <row r="19" spans="1:10" ht="15.75" customHeight="1" x14ac:dyDescent="0.25">
      <c r="A19" s="83">
        <v>16</v>
      </c>
      <c r="B19" s="59" t="s">
        <v>650</v>
      </c>
      <c r="C19" s="59" t="s">
        <v>654</v>
      </c>
      <c r="D19" s="59" t="s">
        <v>605</v>
      </c>
      <c r="E19" s="30" t="s">
        <v>35</v>
      </c>
      <c r="F19" s="30">
        <v>3776</v>
      </c>
      <c r="G19" s="59" t="s">
        <v>727</v>
      </c>
      <c r="H19" s="59" t="s">
        <v>595</v>
      </c>
      <c r="I19" s="59" t="s">
        <v>726</v>
      </c>
      <c r="J19" t="s">
        <v>270</v>
      </c>
    </row>
    <row r="20" spans="1:10" ht="15.75" customHeight="1" x14ac:dyDescent="0.25">
      <c r="A20" s="83">
        <v>17</v>
      </c>
      <c r="B20" s="59" t="s">
        <v>650</v>
      </c>
      <c r="C20" s="59" t="s">
        <v>655</v>
      </c>
      <c r="D20" s="59" t="s">
        <v>59</v>
      </c>
      <c r="E20" s="30" t="s">
        <v>43</v>
      </c>
      <c r="F20" s="30">
        <v>2050</v>
      </c>
      <c r="G20" s="59" t="s">
        <v>597</v>
      </c>
      <c r="H20" s="59" t="s">
        <v>595</v>
      </c>
      <c r="I20" s="59" t="s">
        <v>586</v>
      </c>
      <c r="J20" t="s">
        <v>270</v>
      </c>
    </row>
    <row r="21" spans="1:10" ht="15.75" customHeight="1" x14ac:dyDescent="0.25">
      <c r="A21" s="83">
        <v>18</v>
      </c>
      <c r="B21" s="59" t="s">
        <v>650</v>
      </c>
      <c r="C21" s="59" t="s">
        <v>656</v>
      </c>
      <c r="D21" s="59" t="s">
        <v>1249</v>
      </c>
      <c r="E21" s="30" t="s">
        <v>38</v>
      </c>
      <c r="F21" s="30">
        <v>24780</v>
      </c>
      <c r="G21" s="59" t="s">
        <v>728</v>
      </c>
      <c r="H21" s="59" t="s">
        <v>730</v>
      </c>
      <c r="I21" s="59" t="s">
        <v>729</v>
      </c>
      <c r="J21" t="s">
        <v>270</v>
      </c>
    </row>
    <row r="22" spans="1:10" ht="15.75" customHeight="1" x14ac:dyDescent="0.25">
      <c r="A22" s="83">
        <v>19</v>
      </c>
      <c r="B22" s="59" t="s">
        <v>657</v>
      </c>
      <c r="C22" s="59" t="s">
        <v>658</v>
      </c>
      <c r="D22" s="59" t="s">
        <v>59</v>
      </c>
      <c r="E22" s="30" t="s">
        <v>43</v>
      </c>
      <c r="F22" s="30">
        <v>10</v>
      </c>
      <c r="G22" s="59" t="s">
        <v>737</v>
      </c>
      <c r="H22" s="59" t="s">
        <v>731</v>
      </c>
      <c r="I22" s="59" t="s">
        <v>546</v>
      </c>
      <c r="J22" t="s">
        <v>270</v>
      </c>
    </row>
    <row r="23" spans="1:10" ht="15.75" customHeight="1" x14ac:dyDescent="0.25">
      <c r="A23" s="83">
        <v>20</v>
      </c>
      <c r="B23" s="59" t="s">
        <v>657</v>
      </c>
      <c r="C23" s="59" t="s">
        <v>659</v>
      </c>
      <c r="D23" s="59" t="s">
        <v>605</v>
      </c>
      <c r="E23" s="30" t="s">
        <v>35</v>
      </c>
      <c r="F23" s="30">
        <v>15000</v>
      </c>
      <c r="G23" s="59" t="s">
        <v>737</v>
      </c>
      <c r="H23" s="59" t="s">
        <v>731</v>
      </c>
      <c r="I23" s="59" t="s">
        <v>546</v>
      </c>
      <c r="J23" t="s">
        <v>270</v>
      </c>
    </row>
    <row r="24" spans="1:10" ht="15.75" customHeight="1" x14ac:dyDescent="0.25">
      <c r="A24" s="83">
        <v>21</v>
      </c>
      <c r="B24" s="59" t="s">
        <v>657</v>
      </c>
      <c r="C24" s="59" t="s">
        <v>660</v>
      </c>
      <c r="D24" s="59" t="s">
        <v>622</v>
      </c>
      <c r="E24" s="30" t="s">
        <v>38</v>
      </c>
      <c r="F24" s="30">
        <v>500</v>
      </c>
      <c r="G24" s="59" t="s">
        <v>733</v>
      </c>
      <c r="H24" s="59" t="s">
        <v>64</v>
      </c>
      <c r="I24" s="59" t="s">
        <v>732</v>
      </c>
      <c r="J24" t="s">
        <v>270</v>
      </c>
    </row>
    <row r="25" spans="1:10" ht="15.75" customHeight="1" x14ac:dyDescent="0.25">
      <c r="A25" s="83">
        <v>22</v>
      </c>
      <c r="B25" s="59" t="s">
        <v>657</v>
      </c>
      <c r="C25" s="59" t="s">
        <v>661</v>
      </c>
      <c r="D25" s="59" t="s">
        <v>264</v>
      </c>
      <c r="E25" s="30" t="s">
        <v>736</v>
      </c>
      <c r="F25" s="30">
        <v>13000</v>
      </c>
      <c r="G25" s="59" t="s">
        <v>737</v>
      </c>
      <c r="H25" s="59" t="s">
        <v>54</v>
      </c>
      <c r="I25" s="59" t="s">
        <v>735</v>
      </c>
      <c r="J25" t="s">
        <v>278</v>
      </c>
    </row>
    <row r="26" spans="1:10" ht="15.75" customHeight="1" x14ac:dyDescent="0.25">
      <c r="A26" s="83">
        <v>23</v>
      </c>
      <c r="B26" s="59" t="s">
        <v>657</v>
      </c>
      <c r="C26" s="59" t="s">
        <v>662</v>
      </c>
      <c r="D26" s="59" t="s">
        <v>605</v>
      </c>
      <c r="E26" s="30" t="s">
        <v>35</v>
      </c>
      <c r="F26" s="30">
        <v>2000</v>
      </c>
      <c r="G26" s="59" t="s">
        <v>739</v>
      </c>
      <c r="H26" s="59" t="s">
        <v>390</v>
      </c>
      <c r="I26" s="59" t="s">
        <v>738</v>
      </c>
      <c r="J26" t="s">
        <v>270</v>
      </c>
    </row>
    <row r="27" spans="1:10" s="86" customFormat="1" ht="19.5" customHeight="1" x14ac:dyDescent="0.25">
      <c r="A27" s="85">
        <v>24</v>
      </c>
      <c r="B27" s="59" t="s">
        <v>657</v>
      </c>
      <c r="C27" s="59" t="s">
        <v>663</v>
      </c>
      <c r="D27" s="59" t="s">
        <v>605</v>
      </c>
      <c r="E27" s="30" t="s">
        <v>35</v>
      </c>
      <c r="F27" s="30">
        <v>10980</v>
      </c>
      <c r="G27" s="59" t="s">
        <v>739</v>
      </c>
      <c r="H27" s="59" t="s">
        <v>390</v>
      </c>
      <c r="I27" s="59" t="s">
        <v>738</v>
      </c>
      <c r="J27" t="s">
        <v>270</v>
      </c>
    </row>
    <row r="28" spans="1:10" ht="15.75" customHeight="1" x14ac:dyDescent="0.25">
      <c r="A28" s="83">
        <v>25</v>
      </c>
      <c r="B28" s="59" t="s">
        <v>657</v>
      </c>
      <c r="C28" s="59" t="s">
        <v>664</v>
      </c>
      <c r="D28" s="59" t="s">
        <v>59</v>
      </c>
      <c r="E28" s="30" t="s">
        <v>43</v>
      </c>
      <c r="F28" s="30">
        <v>2500</v>
      </c>
      <c r="G28" s="59" t="s">
        <v>740</v>
      </c>
      <c r="H28" s="59" t="s">
        <v>595</v>
      </c>
      <c r="I28" s="59" t="s">
        <v>378</v>
      </c>
      <c r="J28" t="s">
        <v>270</v>
      </c>
    </row>
    <row r="29" spans="1:10" ht="15.75" customHeight="1" x14ac:dyDescent="0.25">
      <c r="A29" s="83">
        <v>26</v>
      </c>
      <c r="B29" s="59" t="s">
        <v>657</v>
      </c>
      <c r="C29" s="59" t="s">
        <v>665</v>
      </c>
      <c r="D29" s="59" t="s">
        <v>59</v>
      </c>
      <c r="E29" s="30" t="s">
        <v>43</v>
      </c>
      <c r="F29" s="30">
        <v>2750</v>
      </c>
      <c r="G29" s="59" t="s">
        <v>741</v>
      </c>
      <c r="H29" s="59" t="s">
        <v>595</v>
      </c>
      <c r="I29" s="59" t="s">
        <v>486</v>
      </c>
      <c r="J29" t="s">
        <v>270</v>
      </c>
    </row>
    <row r="30" spans="1:10" ht="15.75" customHeight="1" x14ac:dyDescent="0.25">
      <c r="A30" s="83">
        <v>27</v>
      </c>
      <c r="B30" s="59" t="s">
        <v>657</v>
      </c>
      <c r="C30" s="59" t="s">
        <v>666</v>
      </c>
      <c r="D30" s="59" t="s">
        <v>59</v>
      </c>
      <c r="E30" s="30" t="s">
        <v>43</v>
      </c>
      <c r="F30" s="30">
        <v>1500</v>
      </c>
      <c r="G30" s="59" t="s">
        <v>742</v>
      </c>
      <c r="H30" s="59" t="s">
        <v>574</v>
      </c>
      <c r="I30" s="59" t="s">
        <v>439</v>
      </c>
      <c r="J30" t="s">
        <v>270</v>
      </c>
    </row>
    <row r="31" spans="1:10" ht="15.75" customHeight="1" x14ac:dyDescent="0.25">
      <c r="A31" s="83">
        <v>28</v>
      </c>
      <c r="B31" s="59" t="s">
        <v>657</v>
      </c>
      <c r="C31" s="59" t="s">
        <v>667</v>
      </c>
      <c r="D31" s="59" t="s">
        <v>743</v>
      </c>
      <c r="E31" s="30" t="s">
        <v>58</v>
      </c>
      <c r="F31" s="30">
        <v>1000</v>
      </c>
      <c r="G31" s="59" t="s">
        <v>576</v>
      </c>
      <c r="H31" s="59" t="s">
        <v>745</v>
      </c>
      <c r="I31" s="59" t="s">
        <v>744</v>
      </c>
      <c r="J31" t="s">
        <v>270</v>
      </c>
    </row>
    <row r="32" spans="1:10" ht="17.25" customHeight="1" x14ac:dyDescent="0.25">
      <c r="A32" s="83">
        <v>29</v>
      </c>
      <c r="B32" s="59" t="s">
        <v>668</v>
      </c>
      <c r="C32" s="59" t="s">
        <v>669</v>
      </c>
      <c r="D32" s="59" t="s">
        <v>622</v>
      </c>
      <c r="E32" s="30" t="s">
        <v>38</v>
      </c>
      <c r="F32" s="30">
        <v>240</v>
      </c>
      <c r="G32" s="59" t="s">
        <v>746</v>
      </c>
      <c r="H32" s="59" t="s">
        <v>64</v>
      </c>
      <c r="I32" s="59" t="s">
        <v>380</v>
      </c>
      <c r="J32" t="s">
        <v>270</v>
      </c>
    </row>
    <row r="33" spans="1:10" ht="15.75" customHeight="1" x14ac:dyDescent="0.25">
      <c r="A33" s="83">
        <v>30</v>
      </c>
      <c r="B33" s="59" t="s">
        <v>668</v>
      </c>
      <c r="C33" s="59" t="s">
        <v>670</v>
      </c>
      <c r="D33" s="59" t="s">
        <v>622</v>
      </c>
      <c r="E33" s="30" t="s">
        <v>38</v>
      </c>
      <c r="F33" s="30">
        <v>150</v>
      </c>
      <c r="G33" s="59" t="s">
        <v>65</v>
      </c>
      <c r="H33" s="59" t="s">
        <v>64</v>
      </c>
      <c r="I33" s="59" t="s">
        <v>417</v>
      </c>
      <c r="J33" t="s">
        <v>270</v>
      </c>
    </row>
    <row r="34" spans="1:10" ht="15.75" customHeight="1" x14ac:dyDescent="0.25">
      <c r="A34" s="83">
        <v>31</v>
      </c>
      <c r="B34" s="59" t="s">
        <v>668</v>
      </c>
      <c r="C34" s="59" t="s">
        <v>671</v>
      </c>
      <c r="D34" s="59" t="s">
        <v>59</v>
      </c>
      <c r="E34" s="30" t="s">
        <v>43</v>
      </c>
      <c r="F34" s="30">
        <v>2000</v>
      </c>
      <c r="G34" s="59" t="s">
        <v>17</v>
      </c>
      <c r="H34" s="59" t="s">
        <v>595</v>
      </c>
      <c r="I34" s="59" t="s">
        <v>546</v>
      </c>
      <c r="J34" t="s">
        <v>270</v>
      </c>
    </row>
    <row r="35" spans="1:10" ht="15.75" customHeight="1" x14ac:dyDescent="0.25">
      <c r="A35" s="83">
        <v>32</v>
      </c>
      <c r="B35" s="59" t="s">
        <v>672</v>
      </c>
      <c r="C35" s="59" t="s">
        <v>673</v>
      </c>
      <c r="D35" s="59" t="s">
        <v>59</v>
      </c>
      <c r="E35" s="30" t="s">
        <v>43</v>
      </c>
      <c r="F35" s="30">
        <v>2000</v>
      </c>
      <c r="G35" s="59" t="s">
        <v>17</v>
      </c>
      <c r="H35" s="59" t="s">
        <v>595</v>
      </c>
      <c r="I35" s="59" t="s">
        <v>546</v>
      </c>
      <c r="J35" t="s">
        <v>270</v>
      </c>
    </row>
    <row r="36" spans="1:10" ht="15.75" customHeight="1" x14ac:dyDescent="0.25">
      <c r="A36" s="83">
        <v>33</v>
      </c>
      <c r="B36" s="59" t="s">
        <v>672</v>
      </c>
      <c r="C36" s="59" t="s">
        <v>674</v>
      </c>
      <c r="D36" s="59" t="s">
        <v>622</v>
      </c>
      <c r="E36" s="30" t="s">
        <v>38</v>
      </c>
      <c r="F36" s="30">
        <v>76</v>
      </c>
      <c r="G36" s="59" t="s">
        <v>402</v>
      </c>
      <c r="H36" s="59" t="s">
        <v>64</v>
      </c>
      <c r="I36" s="59" t="s">
        <v>417</v>
      </c>
      <c r="J36" t="s">
        <v>270</v>
      </c>
    </row>
    <row r="37" spans="1:10" ht="15.75" customHeight="1" x14ac:dyDescent="0.25">
      <c r="A37" s="83">
        <v>34</v>
      </c>
      <c r="B37" s="59" t="s">
        <v>675</v>
      </c>
      <c r="C37" s="59" t="s">
        <v>676</v>
      </c>
      <c r="D37" s="59" t="s">
        <v>411</v>
      </c>
      <c r="E37" s="30" t="s">
        <v>41</v>
      </c>
      <c r="F37" s="30">
        <v>300</v>
      </c>
      <c r="G37" s="59" t="s">
        <v>576</v>
      </c>
      <c r="H37" s="59" t="s">
        <v>575</v>
      </c>
      <c r="I37" s="59" t="s">
        <v>417</v>
      </c>
      <c r="J37" t="s">
        <v>270</v>
      </c>
    </row>
    <row r="38" spans="1:10" ht="15.75" customHeight="1" x14ac:dyDescent="0.25">
      <c r="A38" s="83">
        <v>35</v>
      </c>
      <c r="B38" s="59" t="s">
        <v>675</v>
      </c>
      <c r="C38" s="59" t="s">
        <v>677</v>
      </c>
      <c r="D38" s="59" t="s">
        <v>264</v>
      </c>
      <c r="E38" s="30" t="s">
        <v>54</v>
      </c>
      <c r="F38" s="30">
        <v>10000</v>
      </c>
      <c r="G38" s="59" t="s">
        <v>67</v>
      </c>
      <c r="H38" s="59" t="s">
        <v>54</v>
      </c>
      <c r="I38" s="59" t="s">
        <v>264</v>
      </c>
      <c r="J38" t="s">
        <v>278</v>
      </c>
    </row>
    <row r="39" spans="1:10" ht="15.75" customHeight="1" x14ac:dyDescent="0.25">
      <c r="A39" s="83">
        <v>36</v>
      </c>
      <c r="B39" s="59" t="s">
        <v>675</v>
      </c>
      <c r="C39" s="59" t="s">
        <v>678</v>
      </c>
      <c r="D39" s="59" t="s">
        <v>622</v>
      </c>
      <c r="E39" s="30" t="s">
        <v>38</v>
      </c>
      <c r="F39" s="30">
        <v>150</v>
      </c>
      <c r="G39" s="59" t="s">
        <v>747</v>
      </c>
      <c r="H39" s="59" t="s">
        <v>64</v>
      </c>
      <c r="I39" s="59" t="s">
        <v>204</v>
      </c>
      <c r="J39" t="s">
        <v>270</v>
      </c>
    </row>
    <row r="40" spans="1:10" ht="15.75" customHeight="1" x14ac:dyDescent="0.25">
      <c r="A40" s="83">
        <v>37</v>
      </c>
      <c r="B40" s="59" t="s">
        <v>675</v>
      </c>
      <c r="C40" s="59" t="s">
        <v>679</v>
      </c>
      <c r="D40" s="59" t="s">
        <v>264</v>
      </c>
      <c r="E40" s="30" t="s">
        <v>54</v>
      </c>
      <c r="F40" s="30">
        <v>88000</v>
      </c>
      <c r="G40" s="59" t="s">
        <v>67</v>
      </c>
      <c r="H40" s="59" t="s">
        <v>54</v>
      </c>
      <c r="I40" s="59" t="s">
        <v>264</v>
      </c>
      <c r="J40" t="s">
        <v>278</v>
      </c>
    </row>
    <row r="41" spans="1:10" ht="15.75" customHeight="1" x14ac:dyDescent="0.25">
      <c r="A41" s="83">
        <v>38</v>
      </c>
      <c r="B41" s="59" t="s">
        <v>675</v>
      </c>
      <c r="C41" s="59" t="s">
        <v>680</v>
      </c>
      <c r="D41" s="59" t="s">
        <v>748</v>
      </c>
      <c r="E41" s="30" t="s">
        <v>750</v>
      </c>
      <c r="F41" s="30">
        <v>5250</v>
      </c>
      <c r="G41" s="59" t="s">
        <v>203</v>
      </c>
      <c r="H41" s="59" t="s">
        <v>64</v>
      </c>
      <c r="I41" s="59" t="s">
        <v>749</v>
      </c>
      <c r="J41" t="s">
        <v>270</v>
      </c>
    </row>
    <row r="42" spans="1:10" ht="15.75" customHeight="1" x14ac:dyDescent="0.25">
      <c r="A42" s="83">
        <v>39</v>
      </c>
      <c r="B42" s="59" t="s">
        <v>675</v>
      </c>
      <c r="C42" s="59" t="s">
        <v>681</v>
      </c>
      <c r="D42" s="59" t="s">
        <v>605</v>
      </c>
      <c r="E42" s="30" t="s">
        <v>35</v>
      </c>
      <c r="F42" s="30">
        <v>23346</v>
      </c>
      <c r="G42" s="59" t="s">
        <v>718</v>
      </c>
      <c r="H42" s="59" t="s">
        <v>390</v>
      </c>
      <c r="I42" s="59" t="s">
        <v>587</v>
      </c>
      <c r="J42" t="s">
        <v>270</v>
      </c>
    </row>
    <row r="43" spans="1:10" ht="15.75" customHeight="1" x14ac:dyDescent="0.25">
      <c r="A43" s="83">
        <v>40</v>
      </c>
      <c r="B43" s="59" t="s">
        <v>675</v>
      </c>
      <c r="C43" s="59" t="s">
        <v>682</v>
      </c>
      <c r="D43" s="59" t="s">
        <v>59</v>
      </c>
      <c r="E43" s="30" t="s">
        <v>43</v>
      </c>
      <c r="F43" s="30">
        <v>1000</v>
      </c>
      <c r="G43" s="59" t="s">
        <v>17</v>
      </c>
      <c r="H43" s="59" t="s">
        <v>595</v>
      </c>
      <c r="I43" s="59" t="s">
        <v>546</v>
      </c>
      <c r="J43" t="s">
        <v>270</v>
      </c>
    </row>
    <row r="44" spans="1:10" ht="15.75" customHeight="1" x14ac:dyDescent="0.25">
      <c r="A44" s="83">
        <v>41</v>
      </c>
      <c r="B44" s="59" t="s">
        <v>675</v>
      </c>
      <c r="C44" s="59" t="s">
        <v>751</v>
      </c>
      <c r="D44" s="59" t="s">
        <v>491</v>
      </c>
      <c r="E44" s="30" t="s">
        <v>52</v>
      </c>
      <c r="F44" s="30">
        <v>1920</v>
      </c>
      <c r="G44" s="59" t="s">
        <v>65</v>
      </c>
      <c r="H44" s="59" t="s">
        <v>52</v>
      </c>
      <c r="I44" s="59" t="s">
        <v>752</v>
      </c>
      <c r="J44" t="s">
        <v>270</v>
      </c>
    </row>
    <row r="45" spans="1:10" ht="15.75" customHeight="1" x14ac:dyDescent="0.25">
      <c r="A45" s="83">
        <v>42</v>
      </c>
      <c r="B45" s="59" t="s">
        <v>675</v>
      </c>
      <c r="C45" s="59" t="s">
        <v>683</v>
      </c>
      <c r="D45" s="59" t="s">
        <v>264</v>
      </c>
      <c r="E45" s="30" t="s">
        <v>54</v>
      </c>
      <c r="F45" s="30">
        <v>15000</v>
      </c>
      <c r="G45" s="59" t="s">
        <v>67</v>
      </c>
      <c r="H45" s="59" t="s">
        <v>54</v>
      </c>
      <c r="I45" s="59" t="s">
        <v>264</v>
      </c>
      <c r="J45" t="s">
        <v>278</v>
      </c>
    </row>
    <row r="46" spans="1:10" ht="15.75" customHeight="1" x14ac:dyDescent="0.25">
      <c r="A46" s="83">
        <v>43</v>
      </c>
      <c r="B46" s="59" t="s">
        <v>675</v>
      </c>
      <c r="C46" s="59" t="s">
        <v>684</v>
      </c>
      <c r="D46" s="59" t="s">
        <v>59</v>
      </c>
      <c r="E46" s="30" t="s">
        <v>43</v>
      </c>
      <c r="F46" s="30">
        <v>15000</v>
      </c>
      <c r="G46" s="59" t="s">
        <v>722</v>
      </c>
      <c r="H46" s="59" t="s">
        <v>595</v>
      </c>
      <c r="I46" s="59" t="s">
        <v>721</v>
      </c>
      <c r="J46" t="s">
        <v>270</v>
      </c>
    </row>
    <row r="47" spans="1:10" ht="15.75" customHeight="1" x14ac:dyDescent="0.25">
      <c r="A47" s="83">
        <v>44</v>
      </c>
      <c r="B47" s="59" t="s">
        <v>675</v>
      </c>
      <c r="C47" s="59" t="s">
        <v>685</v>
      </c>
      <c r="D47" s="59" t="s">
        <v>59</v>
      </c>
      <c r="E47" s="30" t="s">
        <v>43</v>
      </c>
      <c r="F47" s="30">
        <v>29500</v>
      </c>
      <c r="G47" s="59" t="s">
        <v>742</v>
      </c>
      <c r="H47" s="59" t="s">
        <v>595</v>
      </c>
      <c r="I47" s="59" t="s">
        <v>753</v>
      </c>
      <c r="J47" t="s">
        <v>270</v>
      </c>
    </row>
    <row r="48" spans="1:10" ht="15.75" customHeight="1" x14ac:dyDescent="0.25">
      <c r="A48" s="83">
        <v>45</v>
      </c>
      <c r="B48" s="59" t="s">
        <v>675</v>
      </c>
      <c r="C48" s="59" t="s">
        <v>686</v>
      </c>
      <c r="D48" s="59" t="s">
        <v>716</v>
      </c>
      <c r="E48" s="30" t="s">
        <v>220</v>
      </c>
      <c r="F48" s="30">
        <v>30000</v>
      </c>
      <c r="G48" s="59" t="s">
        <v>724</v>
      </c>
      <c r="H48" s="59" t="s">
        <v>595</v>
      </c>
      <c r="I48" s="59" t="s">
        <v>754</v>
      </c>
      <c r="J48" t="s">
        <v>270</v>
      </c>
    </row>
    <row r="49" spans="1:10" ht="15.75" customHeight="1" x14ac:dyDescent="0.25">
      <c r="A49" s="83">
        <v>46</v>
      </c>
      <c r="B49" s="59" t="s">
        <v>675</v>
      </c>
      <c r="C49" s="59" t="s">
        <v>687</v>
      </c>
      <c r="D49" s="59" t="s">
        <v>622</v>
      </c>
      <c r="E49" s="30" t="s">
        <v>38</v>
      </c>
      <c r="F49" s="30">
        <v>2500</v>
      </c>
      <c r="G49" s="59" t="s">
        <v>755</v>
      </c>
      <c r="H49" s="59" t="s">
        <v>64</v>
      </c>
      <c r="I49" s="59" t="s">
        <v>756</v>
      </c>
      <c r="J49" t="s">
        <v>270</v>
      </c>
    </row>
    <row r="50" spans="1:10" ht="15.75" customHeight="1" x14ac:dyDescent="0.25">
      <c r="A50" s="83">
        <v>47</v>
      </c>
      <c r="B50" s="59" t="s">
        <v>688</v>
      </c>
      <c r="C50" s="59" t="s">
        <v>689</v>
      </c>
      <c r="D50" s="59" t="s">
        <v>411</v>
      </c>
      <c r="E50" s="30" t="s">
        <v>41</v>
      </c>
      <c r="F50" s="30">
        <v>1000</v>
      </c>
      <c r="G50" s="59" t="s">
        <v>576</v>
      </c>
      <c r="H50" s="59" t="s">
        <v>575</v>
      </c>
      <c r="I50" s="59" t="s">
        <v>417</v>
      </c>
      <c r="J50" t="s">
        <v>270</v>
      </c>
    </row>
    <row r="51" spans="1:10" ht="15.75" customHeight="1" x14ac:dyDescent="0.25">
      <c r="A51" s="83">
        <v>48</v>
      </c>
      <c r="B51" s="59" t="s">
        <v>688</v>
      </c>
      <c r="C51" s="59" t="s">
        <v>690</v>
      </c>
      <c r="D51" s="59" t="s">
        <v>59</v>
      </c>
      <c r="E51" s="30" t="s">
        <v>43</v>
      </c>
      <c r="F51" s="30">
        <v>2000</v>
      </c>
      <c r="G51" s="59" t="s">
        <v>17</v>
      </c>
      <c r="H51" s="59" t="s">
        <v>595</v>
      </c>
      <c r="I51" s="59" t="s">
        <v>757</v>
      </c>
      <c r="J51" t="s">
        <v>270</v>
      </c>
    </row>
    <row r="52" spans="1:10" ht="15.75" customHeight="1" x14ac:dyDescent="0.25">
      <c r="A52" s="83">
        <v>49</v>
      </c>
      <c r="B52" s="59" t="s">
        <v>688</v>
      </c>
      <c r="C52" s="59" t="s">
        <v>691</v>
      </c>
      <c r="D52" s="59" t="s">
        <v>59</v>
      </c>
      <c r="E52" s="30" t="s">
        <v>43</v>
      </c>
      <c r="F52" s="30">
        <v>2500</v>
      </c>
      <c r="G52" s="59" t="s">
        <v>740</v>
      </c>
      <c r="H52" s="59" t="s">
        <v>595</v>
      </c>
      <c r="I52" s="59" t="s">
        <v>378</v>
      </c>
      <c r="J52" t="s">
        <v>270</v>
      </c>
    </row>
    <row r="53" spans="1:10" ht="15.75" customHeight="1" x14ac:dyDescent="0.25">
      <c r="A53" s="83">
        <v>50</v>
      </c>
      <c r="B53" s="59" t="s">
        <v>692</v>
      </c>
      <c r="C53" s="59" t="s">
        <v>693</v>
      </c>
      <c r="D53" s="59" t="s">
        <v>411</v>
      </c>
      <c r="E53" s="30" t="s">
        <v>41</v>
      </c>
      <c r="F53" s="30">
        <v>200.9</v>
      </c>
      <c r="G53" s="59" t="s">
        <v>759</v>
      </c>
      <c r="H53" s="59" t="s">
        <v>760</v>
      </c>
      <c r="I53" s="59" t="s">
        <v>758</v>
      </c>
      <c r="J53" t="s">
        <v>270</v>
      </c>
    </row>
    <row r="54" spans="1:10" ht="15.75" customHeight="1" x14ac:dyDescent="0.25">
      <c r="A54" s="83">
        <v>51</v>
      </c>
      <c r="B54" s="59" t="s">
        <v>692</v>
      </c>
      <c r="C54" s="59" t="s">
        <v>694</v>
      </c>
      <c r="D54" s="59" t="s">
        <v>59</v>
      </c>
      <c r="E54" s="30" t="s">
        <v>43</v>
      </c>
      <c r="F54" s="30">
        <v>1000</v>
      </c>
      <c r="G54" s="59" t="s">
        <v>762</v>
      </c>
      <c r="H54" s="59" t="s">
        <v>595</v>
      </c>
      <c r="I54" s="59" t="s">
        <v>761</v>
      </c>
      <c r="J54" t="s">
        <v>270</v>
      </c>
    </row>
    <row r="55" spans="1:10" ht="15.75" customHeight="1" x14ac:dyDescent="0.25">
      <c r="A55" s="83">
        <v>52</v>
      </c>
      <c r="B55" s="59" t="s">
        <v>692</v>
      </c>
      <c r="C55" s="59" t="s">
        <v>695</v>
      </c>
      <c r="D55" s="59" t="s">
        <v>264</v>
      </c>
      <c r="E55" s="30" t="s">
        <v>54</v>
      </c>
      <c r="F55" s="30">
        <v>16000</v>
      </c>
      <c r="G55" s="59" t="s">
        <v>67</v>
      </c>
      <c r="H55" s="59" t="s">
        <v>54</v>
      </c>
      <c r="I55" s="59" t="s">
        <v>264</v>
      </c>
      <c r="J55" t="s">
        <v>278</v>
      </c>
    </row>
    <row r="56" spans="1:10" ht="15.75" customHeight="1" x14ac:dyDescent="0.25">
      <c r="A56" s="83">
        <v>53</v>
      </c>
      <c r="B56" s="59" t="s">
        <v>692</v>
      </c>
      <c r="C56" s="59" t="s">
        <v>696</v>
      </c>
      <c r="D56" s="59" t="s">
        <v>622</v>
      </c>
      <c r="E56" s="30" t="s">
        <v>38</v>
      </c>
      <c r="F56" s="30">
        <v>11500</v>
      </c>
      <c r="G56" s="59" t="s">
        <v>764</v>
      </c>
      <c r="H56" s="59" t="s">
        <v>64</v>
      </c>
      <c r="I56" s="59" t="s">
        <v>763</v>
      </c>
      <c r="J56" t="s">
        <v>270</v>
      </c>
    </row>
    <row r="57" spans="1:10" ht="15.75" customHeight="1" x14ac:dyDescent="0.25">
      <c r="A57" s="83">
        <v>54</v>
      </c>
      <c r="B57" s="59" t="s">
        <v>692</v>
      </c>
      <c r="C57" s="59" t="s">
        <v>697</v>
      </c>
      <c r="D57" s="59" t="s">
        <v>716</v>
      </c>
      <c r="E57" s="30" t="s">
        <v>220</v>
      </c>
      <c r="F57" s="30">
        <v>2000</v>
      </c>
      <c r="G57" s="59" t="s">
        <v>573</v>
      </c>
      <c r="H57" s="59" t="s">
        <v>574</v>
      </c>
      <c r="I57" s="59" t="s">
        <v>422</v>
      </c>
      <c r="J57" t="s">
        <v>270</v>
      </c>
    </row>
    <row r="58" spans="1:10" ht="15.75" customHeight="1" x14ac:dyDescent="0.25">
      <c r="A58" s="83">
        <v>55</v>
      </c>
      <c r="B58" s="59" t="s">
        <v>698</v>
      </c>
      <c r="C58" s="59" t="s">
        <v>699</v>
      </c>
      <c r="D58" s="59" t="s">
        <v>411</v>
      </c>
      <c r="E58" s="30" t="s">
        <v>41</v>
      </c>
      <c r="F58" s="30">
        <v>1000</v>
      </c>
      <c r="G58" s="59" t="s">
        <v>765</v>
      </c>
      <c r="H58" s="59" t="s">
        <v>760</v>
      </c>
      <c r="I58" s="59" t="s">
        <v>1251</v>
      </c>
      <c r="J58" t="s">
        <v>270</v>
      </c>
    </row>
    <row r="59" spans="1:10" ht="15.75" customHeight="1" x14ac:dyDescent="0.25">
      <c r="A59" s="83">
        <v>56</v>
      </c>
      <c r="B59" s="59" t="s">
        <v>698</v>
      </c>
      <c r="C59" s="59" t="s">
        <v>700</v>
      </c>
      <c r="D59" s="59" t="s">
        <v>622</v>
      </c>
      <c r="E59" s="30" t="s">
        <v>38</v>
      </c>
      <c r="F59" s="30">
        <v>460.04</v>
      </c>
      <c r="G59" s="59" t="s">
        <v>766</v>
      </c>
      <c r="H59" s="59" t="s">
        <v>64</v>
      </c>
      <c r="I59" s="59" t="s">
        <v>767</v>
      </c>
      <c r="J59" t="s">
        <v>270</v>
      </c>
    </row>
    <row r="60" spans="1:10" ht="15.75" customHeight="1" x14ac:dyDescent="0.25">
      <c r="A60" s="83">
        <v>57</v>
      </c>
      <c r="B60" s="59" t="s">
        <v>698</v>
      </c>
      <c r="C60" s="59" t="s">
        <v>701</v>
      </c>
      <c r="D60" s="59" t="s">
        <v>55</v>
      </c>
      <c r="E60" s="30" t="s">
        <v>54</v>
      </c>
      <c r="F60" s="30">
        <v>2000</v>
      </c>
      <c r="G60" s="59" t="s">
        <v>65</v>
      </c>
      <c r="H60" s="59" t="s">
        <v>54</v>
      </c>
      <c r="I60" s="59" t="s">
        <v>768</v>
      </c>
      <c r="J60" t="s">
        <v>278</v>
      </c>
    </row>
    <row r="61" spans="1:10" ht="15.75" customHeight="1" x14ac:dyDescent="0.25">
      <c r="A61" s="83">
        <v>58</v>
      </c>
      <c r="B61" s="59" t="s">
        <v>698</v>
      </c>
      <c r="C61" s="59" t="s">
        <v>702</v>
      </c>
      <c r="D61" s="59" t="s">
        <v>605</v>
      </c>
      <c r="E61" s="30" t="s">
        <v>35</v>
      </c>
      <c r="F61" s="30">
        <v>2000</v>
      </c>
      <c r="G61" s="59" t="s">
        <v>770</v>
      </c>
      <c r="H61" s="59" t="s">
        <v>574</v>
      </c>
      <c r="I61" s="59" t="s">
        <v>769</v>
      </c>
      <c r="J61" t="s">
        <v>270</v>
      </c>
    </row>
    <row r="62" spans="1:10" ht="15.75" customHeight="1" x14ac:dyDescent="0.25">
      <c r="A62" s="83">
        <v>59</v>
      </c>
      <c r="B62" s="59" t="s">
        <v>698</v>
      </c>
      <c r="C62" s="59" t="s">
        <v>703</v>
      </c>
      <c r="D62" s="59" t="s">
        <v>605</v>
      </c>
      <c r="E62" s="30" t="s">
        <v>35</v>
      </c>
      <c r="F62" s="30">
        <v>2000</v>
      </c>
      <c r="G62" s="59" t="s">
        <v>770</v>
      </c>
      <c r="H62" s="59" t="s">
        <v>574</v>
      </c>
      <c r="I62" s="59" t="s">
        <v>769</v>
      </c>
      <c r="J62" t="s">
        <v>270</v>
      </c>
    </row>
    <row r="63" spans="1:10" ht="15.75" customHeight="1" x14ac:dyDescent="0.25">
      <c r="A63" s="83">
        <v>60</v>
      </c>
      <c r="B63" s="59" t="s">
        <v>698</v>
      </c>
      <c r="C63" s="59" t="s">
        <v>704</v>
      </c>
      <c r="D63" s="59" t="s">
        <v>605</v>
      </c>
      <c r="E63" s="30" t="s">
        <v>35</v>
      </c>
      <c r="F63" s="30">
        <v>1114</v>
      </c>
      <c r="G63" s="59" t="s">
        <v>770</v>
      </c>
      <c r="H63" s="59" t="s">
        <v>574</v>
      </c>
      <c r="I63" s="59" t="s">
        <v>769</v>
      </c>
      <c r="J63" t="s">
        <v>270</v>
      </c>
    </row>
    <row r="64" spans="1:10" ht="15.75" customHeight="1" x14ac:dyDescent="0.25">
      <c r="A64" s="83">
        <v>61</v>
      </c>
      <c r="B64" s="59" t="s">
        <v>698</v>
      </c>
      <c r="C64" s="59" t="s">
        <v>705</v>
      </c>
      <c r="D64" s="59" t="s">
        <v>264</v>
      </c>
      <c r="E64" s="30" t="s">
        <v>54</v>
      </c>
      <c r="F64" s="30">
        <v>10000</v>
      </c>
      <c r="G64" s="59" t="s">
        <v>67</v>
      </c>
      <c r="H64" s="59" t="s">
        <v>54</v>
      </c>
      <c r="I64" s="59" t="s">
        <v>264</v>
      </c>
      <c r="J64" t="s">
        <v>278</v>
      </c>
    </row>
    <row r="65" spans="1:10" ht="15.75" customHeight="1" x14ac:dyDescent="0.25">
      <c r="A65" s="83">
        <v>62</v>
      </c>
      <c r="B65" s="59" t="s">
        <v>698</v>
      </c>
      <c r="C65" s="59" t="s">
        <v>706</v>
      </c>
      <c r="D65" s="59" t="s">
        <v>59</v>
      </c>
      <c r="E65" s="30" t="s">
        <v>43</v>
      </c>
      <c r="F65" s="30">
        <v>2300</v>
      </c>
      <c r="G65" s="59" t="s">
        <v>741</v>
      </c>
      <c r="H65" s="59" t="s">
        <v>574</v>
      </c>
      <c r="I65" s="59" t="s">
        <v>486</v>
      </c>
      <c r="J65" t="s">
        <v>270</v>
      </c>
    </row>
    <row r="66" spans="1:10" ht="15.75" customHeight="1" x14ac:dyDescent="0.25">
      <c r="A66" s="83">
        <v>63</v>
      </c>
      <c r="B66" s="59" t="s">
        <v>698</v>
      </c>
      <c r="C66" s="59" t="s">
        <v>707</v>
      </c>
      <c r="D66" s="59" t="s">
        <v>734</v>
      </c>
      <c r="E66" s="30" t="s">
        <v>52</v>
      </c>
      <c r="F66" s="30">
        <v>2000</v>
      </c>
      <c r="G66" s="59" t="s">
        <v>65</v>
      </c>
      <c r="H66" s="59" t="s">
        <v>52</v>
      </c>
      <c r="I66" s="59" t="s">
        <v>768</v>
      </c>
      <c r="J66" t="s">
        <v>270</v>
      </c>
    </row>
    <row r="67" spans="1:10" ht="15.75" customHeight="1" x14ac:dyDescent="0.25">
      <c r="A67" s="83">
        <v>64</v>
      </c>
      <c r="B67" s="59" t="s">
        <v>698</v>
      </c>
      <c r="C67" s="59" t="s">
        <v>708</v>
      </c>
      <c r="D67" s="59" t="s">
        <v>264</v>
      </c>
      <c r="E67" s="30" t="s">
        <v>54</v>
      </c>
      <c r="F67" s="30">
        <v>25000</v>
      </c>
      <c r="G67" s="59" t="s">
        <v>67</v>
      </c>
      <c r="H67" s="59" t="s">
        <v>54</v>
      </c>
      <c r="I67" s="59" t="s">
        <v>264</v>
      </c>
      <c r="J67" t="s">
        <v>278</v>
      </c>
    </row>
    <row r="68" spans="1:10" ht="15.75" customHeight="1" x14ac:dyDescent="0.25">
      <c r="A68" s="83">
        <v>65</v>
      </c>
      <c r="B68" s="59" t="s">
        <v>698</v>
      </c>
      <c r="C68" s="59" t="s">
        <v>709</v>
      </c>
      <c r="D68" s="59" t="s">
        <v>605</v>
      </c>
      <c r="E68" s="30" t="s">
        <v>35</v>
      </c>
      <c r="F68" s="30">
        <v>12154</v>
      </c>
      <c r="G68" s="59" t="s">
        <v>772</v>
      </c>
      <c r="H68" s="59" t="s">
        <v>390</v>
      </c>
      <c r="I68" s="59" t="s">
        <v>771</v>
      </c>
      <c r="J68" t="s">
        <v>270</v>
      </c>
    </row>
    <row r="69" spans="1:10" ht="15.75" customHeight="1" x14ac:dyDescent="0.25">
      <c r="A69" s="83">
        <v>66</v>
      </c>
      <c r="B69" s="59" t="s">
        <v>698</v>
      </c>
      <c r="C69" s="59" t="s">
        <v>710</v>
      </c>
      <c r="D69" s="59" t="s">
        <v>605</v>
      </c>
      <c r="E69" s="30" t="s">
        <v>35</v>
      </c>
      <c r="F69" s="30">
        <v>12154</v>
      </c>
      <c r="G69" s="59" t="s">
        <v>772</v>
      </c>
      <c r="H69" s="59" t="s">
        <v>390</v>
      </c>
      <c r="I69" s="59" t="s">
        <v>771</v>
      </c>
      <c r="J69" t="s">
        <v>270</v>
      </c>
    </row>
    <row r="70" spans="1:10" ht="15.75" customHeight="1" x14ac:dyDescent="0.25">
      <c r="A70" s="83">
        <v>67</v>
      </c>
      <c r="B70" s="59" t="s">
        <v>698</v>
      </c>
      <c r="C70" s="59" t="s">
        <v>711</v>
      </c>
      <c r="D70" s="59" t="s">
        <v>622</v>
      </c>
      <c r="E70" s="30" t="s">
        <v>38</v>
      </c>
      <c r="F70" s="30">
        <v>40</v>
      </c>
      <c r="G70" s="59" t="s">
        <v>773</v>
      </c>
      <c r="H70" s="59" t="s">
        <v>730</v>
      </c>
      <c r="I70" s="59" t="s">
        <v>417</v>
      </c>
      <c r="J70" t="s">
        <v>270</v>
      </c>
    </row>
    <row r="71" spans="1:10" s="86" customFormat="1" ht="18" customHeight="1" x14ac:dyDescent="0.25">
      <c r="A71" s="85">
        <v>68</v>
      </c>
      <c r="B71" s="59" t="s">
        <v>698</v>
      </c>
      <c r="C71" s="59" t="s">
        <v>712</v>
      </c>
      <c r="D71" s="59" t="s">
        <v>59</v>
      </c>
      <c r="E71" s="30" t="s">
        <v>43</v>
      </c>
      <c r="F71" s="30">
        <v>500</v>
      </c>
      <c r="G71" s="59" t="s">
        <v>576</v>
      </c>
      <c r="H71" s="59" t="s">
        <v>390</v>
      </c>
      <c r="I71" s="59" t="s">
        <v>417</v>
      </c>
      <c r="J71" t="s">
        <v>270</v>
      </c>
    </row>
    <row r="72" spans="1:10" s="86" customFormat="1" ht="18" customHeight="1" x14ac:dyDescent="0.25">
      <c r="A72" s="85">
        <v>69</v>
      </c>
      <c r="B72" s="59" t="s">
        <v>774</v>
      </c>
      <c r="C72" s="59" t="s">
        <v>775</v>
      </c>
      <c r="D72" s="59" t="s">
        <v>622</v>
      </c>
      <c r="E72" s="30" t="s">
        <v>38</v>
      </c>
      <c r="F72" s="30">
        <v>32</v>
      </c>
      <c r="G72" s="59" t="s">
        <v>887</v>
      </c>
      <c r="H72" s="59" t="s">
        <v>64</v>
      </c>
      <c r="I72" s="59" t="s">
        <v>417</v>
      </c>
      <c r="J72" t="s">
        <v>270</v>
      </c>
    </row>
    <row r="73" spans="1:10" s="86" customFormat="1" ht="18" customHeight="1" x14ac:dyDescent="0.25">
      <c r="A73" s="85">
        <v>70</v>
      </c>
      <c r="B73" s="59" t="s">
        <v>774</v>
      </c>
      <c r="C73" s="59" t="s">
        <v>776</v>
      </c>
      <c r="D73" s="59" t="s">
        <v>59</v>
      </c>
      <c r="E73" s="30" t="s">
        <v>43</v>
      </c>
      <c r="F73" s="30">
        <v>2000</v>
      </c>
      <c r="G73" s="59" t="s">
        <v>429</v>
      </c>
      <c r="H73" s="59" t="s">
        <v>595</v>
      </c>
      <c r="I73" s="59" t="s">
        <v>888</v>
      </c>
      <c r="J73" t="s">
        <v>270</v>
      </c>
    </row>
    <row r="74" spans="1:10" s="86" customFormat="1" ht="18" customHeight="1" x14ac:dyDescent="0.25">
      <c r="A74" s="85">
        <v>71</v>
      </c>
      <c r="B74" s="59" t="s">
        <v>774</v>
      </c>
      <c r="C74" s="59" t="s">
        <v>777</v>
      </c>
      <c r="D74" s="59" t="s">
        <v>59</v>
      </c>
      <c r="E74" s="30" t="s">
        <v>43</v>
      </c>
      <c r="F74" s="30">
        <v>400</v>
      </c>
      <c r="G74" s="59" t="s">
        <v>747</v>
      </c>
      <c r="H74" s="59" t="s">
        <v>627</v>
      </c>
      <c r="I74" s="59" t="s">
        <v>378</v>
      </c>
      <c r="J74" t="s">
        <v>270</v>
      </c>
    </row>
    <row r="75" spans="1:10" s="86" customFormat="1" ht="18" customHeight="1" x14ac:dyDescent="0.25">
      <c r="A75" s="85">
        <v>72</v>
      </c>
      <c r="B75" s="59" t="s">
        <v>774</v>
      </c>
      <c r="C75" s="59" t="s">
        <v>778</v>
      </c>
      <c r="D75" s="59" t="s">
        <v>59</v>
      </c>
      <c r="E75" s="30" t="s">
        <v>43</v>
      </c>
      <c r="F75" s="30">
        <v>73</v>
      </c>
      <c r="G75" s="59" t="s">
        <v>556</v>
      </c>
      <c r="H75" s="59" t="s">
        <v>575</v>
      </c>
      <c r="I75" s="59" t="s">
        <v>417</v>
      </c>
      <c r="J75" t="s">
        <v>270</v>
      </c>
    </row>
    <row r="76" spans="1:10" s="86" customFormat="1" ht="18" customHeight="1" x14ac:dyDescent="0.25">
      <c r="A76" s="85">
        <v>73</v>
      </c>
      <c r="B76" s="59" t="s">
        <v>774</v>
      </c>
      <c r="C76" s="59" t="s">
        <v>779</v>
      </c>
      <c r="D76" s="59" t="s">
        <v>59</v>
      </c>
      <c r="E76" s="30" t="s">
        <v>43</v>
      </c>
      <c r="F76" s="30">
        <v>2000</v>
      </c>
      <c r="G76" s="59" t="s">
        <v>747</v>
      </c>
      <c r="H76" s="59" t="s">
        <v>889</v>
      </c>
      <c r="I76" s="59" t="s">
        <v>546</v>
      </c>
      <c r="J76" t="s">
        <v>270</v>
      </c>
    </row>
    <row r="77" spans="1:10" s="86" customFormat="1" ht="18" customHeight="1" x14ac:dyDescent="0.25">
      <c r="A77" s="85">
        <v>74</v>
      </c>
      <c r="B77" s="59" t="s">
        <v>774</v>
      </c>
      <c r="C77" s="59" t="s">
        <v>780</v>
      </c>
      <c r="D77" s="59" t="s">
        <v>59</v>
      </c>
      <c r="E77" s="30" t="s">
        <v>43</v>
      </c>
      <c r="F77" s="30">
        <v>1500</v>
      </c>
      <c r="G77" s="59" t="s">
        <v>890</v>
      </c>
      <c r="H77" s="59" t="s">
        <v>574</v>
      </c>
      <c r="I77" s="59" t="s">
        <v>891</v>
      </c>
      <c r="J77" t="s">
        <v>270</v>
      </c>
    </row>
    <row r="78" spans="1:10" s="86" customFormat="1" ht="18" customHeight="1" x14ac:dyDescent="0.25">
      <c r="A78" s="85">
        <v>75</v>
      </c>
      <c r="B78" s="59" t="s">
        <v>781</v>
      </c>
      <c r="C78" s="59" t="s">
        <v>782</v>
      </c>
      <c r="D78" s="59" t="s">
        <v>264</v>
      </c>
      <c r="E78" s="30" t="s">
        <v>54</v>
      </c>
      <c r="F78" s="30">
        <v>2000</v>
      </c>
      <c r="G78" s="59" t="s">
        <v>65</v>
      </c>
      <c r="H78" s="59" t="s">
        <v>427</v>
      </c>
      <c r="I78" s="59" t="s">
        <v>546</v>
      </c>
      <c r="J78" t="s">
        <v>278</v>
      </c>
    </row>
    <row r="79" spans="1:10" s="86" customFormat="1" ht="18" customHeight="1" x14ac:dyDescent="0.25">
      <c r="A79" s="85">
        <v>76</v>
      </c>
      <c r="B79" s="59" t="s">
        <v>781</v>
      </c>
      <c r="C79" s="59" t="s">
        <v>783</v>
      </c>
      <c r="D79" s="59" t="s">
        <v>622</v>
      </c>
      <c r="E79" s="30" t="s">
        <v>38</v>
      </c>
      <c r="F79" s="30">
        <v>2000</v>
      </c>
      <c r="G79" s="59" t="s">
        <v>381</v>
      </c>
      <c r="H79" s="59" t="s">
        <v>64</v>
      </c>
      <c r="I79" s="59" t="s">
        <v>892</v>
      </c>
      <c r="J79" t="s">
        <v>270</v>
      </c>
    </row>
    <row r="80" spans="1:10" s="86" customFormat="1" ht="18" customHeight="1" x14ac:dyDescent="0.25">
      <c r="A80" s="85">
        <v>77</v>
      </c>
      <c r="B80" s="59" t="s">
        <v>781</v>
      </c>
      <c r="C80" s="59" t="s">
        <v>784</v>
      </c>
      <c r="D80" s="59" t="s">
        <v>264</v>
      </c>
      <c r="E80" s="30" t="s">
        <v>54</v>
      </c>
      <c r="F80" s="30">
        <v>25000</v>
      </c>
      <c r="G80" s="59" t="s">
        <v>67</v>
      </c>
      <c r="H80" s="59" t="s">
        <v>54</v>
      </c>
      <c r="I80" s="59" t="s">
        <v>264</v>
      </c>
      <c r="J80" t="s">
        <v>278</v>
      </c>
    </row>
    <row r="81" spans="1:10" s="86" customFormat="1" ht="18" customHeight="1" x14ac:dyDescent="0.25">
      <c r="A81" s="85">
        <v>78</v>
      </c>
      <c r="B81" s="59" t="s">
        <v>781</v>
      </c>
      <c r="C81" s="59" t="s">
        <v>785</v>
      </c>
      <c r="D81" s="59" t="s">
        <v>605</v>
      </c>
      <c r="E81" s="30" t="s">
        <v>35</v>
      </c>
      <c r="F81" s="30">
        <v>3759</v>
      </c>
      <c r="G81" s="59" t="s">
        <v>893</v>
      </c>
      <c r="H81" s="59" t="s">
        <v>390</v>
      </c>
      <c r="I81" s="59" t="s">
        <v>587</v>
      </c>
      <c r="J81" t="s">
        <v>270</v>
      </c>
    </row>
    <row r="82" spans="1:10" s="86" customFormat="1" ht="18" customHeight="1" x14ac:dyDescent="0.25">
      <c r="A82" s="85">
        <v>79</v>
      </c>
      <c r="B82" s="59" t="s">
        <v>781</v>
      </c>
      <c r="C82" s="59" t="s">
        <v>786</v>
      </c>
      <c r="D82" s="59" t="s">
        <v>622</v>
      </c>
      <c r="E82" s="30" t="s">
        <v>38</v>
      </c>
      <c r="F82" s="30">
        <v>500</v>
      </c>
      <c r="G82" s="59" t="s">
        <v>381</v>
      </c>
      <c r="H82" s="59" t="s">
        <v>64</v>
      </c>
      <c r="I82" s="59" t="s">
        <v>894</v>
      </c>
      <c r="J82" t="s">
        <v>270</v>
      </c>
    </row>
    <row r="83" spans="1:10" s="86" customFormat="1" ht="18" customHeight="1" x14ac:dyDescent="0.25">
      <c r="A83" s="85">
        <v>80</v>
      </c>
      <c r="B83" s="59" t="s">
        <v>781</v>
      </c>
      <c r="C83" s="59" t="s">
        <v>787</v>
      </c>
      <c r="D83" s="59" t="s">
        <v>59</v>
      </c>
      <c r="E83" s="30" t="s">
        <v>43</v>
      </c>
      <c r="F83" s="30">
        <v>290</v>
      </c>
      <c r="G83" s="59" t="s">
        <v>402</v>
      </c>
      <c r="H83" s="59" t="s">
        <v>889</v>
      </c>
      <c r="I83" s="59" t="s">
        <v>417</v>
      </c>
      <c r="J83" t="s">
        <v>270</v>
      </c>
    </row>
    <row r="84" spans="1:10" s="86" customFormat="1" ht="18" customHeight="1" x14ac:dyDescent="0.25">
      <c r="A84" s="85">
        <v>81</v>
      </c>
      <c r="B84" s="59" t="s">
        <v>788</v>
      </c>
      <c r="C84" s="59" t="s">
        <v>789</v>
      </c>
      <c r="D84" s="59" t="s">
        <v>59</v>
      </c>
      <c r="E84" s="30" t="s">
        <v>43</v>
      </c>
      <c r="F84" s="30">
        <v>600</v>
      </c>
      <c r="G84" s="59" t="s">
        <v>576</v>
      </c>
      <c r="H84" s="59" t="s">
        <v>627</v>
      </c>
      <c r="I84" s="59" t="s">
        <v>546</v>
      </c>
      <c r="J84" t="s">
        <v>270</v>
      </c>
    </row>
    <row r="85" spans="1:10" s="86" customFormat="1" ht="18" customHeight="1" x14ac:dyDescent="0.25">
      <c r="A85" s="85">
        <v>82</v>
      </c>
      <c r="B85" s="59" t="s">
        <v>788</v>
      </c>
      <c r="C85" s="59" t="s">
        <v>790</v>
      </c>
      <c r="D85" s="59" t="s">
        <v>59</v>
      </c>
      <c r="E85" s="30" t="s">
        <v>43</v>
      </c>
      <c r="F85" s="30">
        <v>2500</v>
      </c>
      <c r="G85" s="59" t="s">
        <v>740</v>
      </c>
      <c r="H85" s="59" t="s">
        <v>595</v>
      </c>
      <c r="I85" s="59" t="s">
        <v>378</v>
      </c>
      <c r="J85" t="s">
        <v>270</v>
      </c>
    </row>
    <row r="86" spans="1:10" s="86" customFormat="1" ht="18" customHeight="1" x14ac:dyDescent="0.25">
      <c r="A86" s="85">
        <v>83</v>
      </c>
      <c r="B86" s="59" t="s">
        <v>788</v>
      </c>
      <c r="C86" s="59" t="s">
        <v>791</v>
      </c>
      <c r="D86" s="59" t="s">
        <v>59</v>
      </c>
      <c r="E86" s="30" t="s">
        <v>43</v>
      </c>
      <c r="F86" s="30">
        <v>2500</v>
      </c>
      <c r="G86" s="59" t="s">
        <v>429</v>
      </c>
      <c r="H86" s="59" t="s">
        <v>595</v>
      </c>
      <c r="I86" s="59" t="s">
        <v>726</v>
      </c>
      <c r="J86" t="s">
        <v>270</v>
      </c>
    </row>
    <row r="87" spans="1:10" s="86" customFormat="1" ht="18" customHeight="1" x14ac:dyDescent="0.25">
      <c r="A87" s="85">
        <v>84</v>
      </c>
      <c r="B87" s="59" t="s">
        <v>788</v>
      </c>
      <c r="C87" s="59" t="s">
        <v>792</v>
      </c>
      <c r="D87" s="59" t="s">
        <v>59</v>
      </c>
      <c r="E87" s="30" t="s">
        <v>43</v>
      </c>
      <c r="F87" s="30">
        <v>1000</v>
      </c>
      <c r="G87" s="59" t="s">
        <v>429</v>
      </c>
      <c r="H87" s="59" t="s">
        <v>595</v>
      </c>
      <c r="I87" s="59" t="s">
        <v>546</v>
      </c>
      <c r="J87" t="s">
        <v>270</v>
      </c>
    </row>
    <row r="88" spans="1:10" s="86" customFormat="1" ht="18" customHeight="1" x14ac:dyDescent="0.25">
      <c r="A88" s="85">
        <v>85</v>
      </c>
      <c r="B88" s="59" t="s">
        <v>788</v>
      </c>
      <c r="C88" s="59" t="s">
        <v>793</v>
      </c>
      <c r="D88" s="59" t="s">
        <v>59</v>
      </c>
      <c r="E88" s="30" t="s">
        <v>43</v>
      </c>
      <c r="F88" s="30">
        <v>1000</v>
      </c>
      <c r="G88" s="59" t="s">
        <v>747</v>
      </c>
      <c r="H88" s="59" t="s">
        <v>931</v>
      </c>
      <c r="I88" s="59" t="s">
        <v>546</v>
      </c>
      <c r="J88" t="s">
        <v>270</v>
      </c>
    </row>
    <row r="89" spans="1:10" s="86" customFormat="1" ht="18" customHeight="1" x14ac:dyDescent="0.25">
      <c r="A89" s="85">
        <v>86</v>
      </c>
      <c r="B89" s="59" t="s">
        <v>788</v>
      </c>
      <c r="C89" s="59" t="s">
        <v>794</v>
      </c>
      <c r="D89" s="59" t="s">
        <v>264</v>
      </c>
      <c r="E89" s="30" t="s">
        <v>54</v>
      </c>
      <c r="F89" s="30">
        <v>20000</v>
      </c>
      <c r="G89" s="59" t="s">
        <v>67</v>
      </c>
      <c r="H89" s="59" t="s">
        <v>54</v>
      </c>
      <c r="I89" s="59" t="s">
        <v>264</v>
      </c>
      <c r="J89" t="s">
        <v>278</v>
      </c>
    </row>
    <row r="90" spans="1:10" s="86" customFormat="1" ht="18" customHeight="1" x14ac:dyDescent="0.25">
      <c r="A90" s="85">
        <v>87</v>
      </c>
      <c r="B90" s="59" t="s">
        <v>788</v>
      </c>
      <c r="C90" s="59" t="s">
        <v>795</v>
      </c>
      <c r="D90" s="59" t="s">
        <v>59</v>
      </c>
      <c r="E90" s="30" t="s">
        <v>43</v>
      </c>
      <c r="F90" s="30">
        <v>60</v>
      </c>
      <c r="G90" s="59" t="s">
        <v>719</v>
      </c>
      <c r="H90" s="59" t="s">
        <v>889</v>
      </c>
      <c r="I90" s="59" t="s">
        <v>417</v>
      </c>
      <c r="J90" t="s">
        <v>270</v>
      </c>
    </row>
    <row r="91" spans="1:10" s="86" customFormat="1" ht="18" customHeight="1" x14ac:dyDescent="0.25">
      <c r="A91" s="85">
        <v>88</v>
      </c>
      <c r="B91" s="59" t="s">
        <v>788</v>
      </c>
      <c r="C91" s="59" t="s">
        <v>796</v>
      </c>
      <c r="D91" s="59" t="s">
        <v>622</v>
      </c>
      <c r="E91" s="30" t="s">
        <v>38</v>
      </c>
      <c r="F91" s="30">
        <v>405.24</v>
      </c>
      <c r="G91" s="59" t="s">
        <v>896</v>
      </c>
      <c r="H91" s="59" t="s">
        <v>64</v>
      </c>
      <c r="I91" s="59" t="s">
        <v>204</v>
      </c>
      <c r="J91" t="s">
        <v>270</v>
      </c>
    </row>
    <row r="92" spans="1:10" s="86" customFormat="1" ht="18" customHeight="1" x14ac:dyDescent="0.25">
      <c r="A92" s="85">
        <v>89</v>
      </c>
      <c r="B92" s="59" t="s">
        <v>788</v>
      </c>
      <c r="C92" s="59" t="s">
        <v>797</v>
      </c>
      <c r="D92" s="59" t="s">
        <v>411</v>
      </c>
      <c r="E92" s="30" t="s">
        <v>41</v>
      </c>
      <c r="F92" s="30">
        <v>15000</v>
      </c>
      <c r="G92" s="59" t="s">
        <v>576</v>
      </c>
      <c r="H92" s="59" t="s">
        <v>575</v>
      </c>
      <c r="I92" s="59" t="s">
        <v>128</v>
      </c>
      <c r="J92" t="s">
        <v>270</v>
      </c>
    </row>
    <row r="93" spans="1:10" s="86" customFormat="1" ht="18" customHeight="1" x14ac:dyDescent="0.25">
      <c r="A93" s="85">
        <v>90</v>
      </c>
      <c r="B93" s="59" t="s">
        <v>788</v>
      </c>
      <c r="C93" s="59" t="s">
        <v>798</v>
      </c>
      <c r="D93" s="59" t="s">
        <v>1064</v>
      </c>
      <c r="E93" s="30" t="s">
        <v>220</v>
      </c>
      <c r="F93" s="30">
        <v>9581</v>
      </c>
      <c r="G93" s="59" t="s">
        <v>898</v>
      </c>
      <c r="H93" s="59" t="s">
        <v>595</v>
      </c>
      <c r="I93" s="59" t="s">
        <v>897</v>
      </c>
      <c r="J93" t="s">
        <v>270</v>
      </c>
    </row>
    <row r="94" spans="1:10" s="86" customFormat="1" ht="18" customHeight="1" x14ac:dyDescent="0.25">
      <c r="A94" s="85">
        <v>91</v>
      </c>
      <c r="B94" s="59" t="s">
        <v>788</v>
      </c>
      <c r="C94" s="59" t="s">
        <v>799</v>
      </c>
      <c r="D94" s="59" t="s">
        <v>59</v>
      </c>
      <c r="E94" s="30" t="s">
        <v>43</v>
      </c>
      <c r="F94" s="30">
        <v>2050</v>
      </c>
      <c r="G94" s="59" t="s">
        <v>546</v>
      </c>
      <c r="H94" s="59" t="s">
        <v>595</v>
      </c>
      <c r="I94" s="59" t="s">
        <v>586</v>
      </c>
      <c r="J94" t="s">
        <v>270</v>
      </c>
    </row>
    <row r="95" spans="1:10" s="86" customFormat="1" ht="18" customHeight="1" x14ac:dyDescent="0.25">
      <c r="A95" s="85">
        <v>92</v>
      </c>
      <c r="B95" s="59" t="s">
        <v>788</v>
      </c>
      <c r="C95" s="59" t="s">
        <v>800</v>
      </c>
      <c r="D95" s="59" t="s">
        <v>59</v>
      </c>
      <c r="E95" s="30" t="s">
        <v>43</v>
      </c>
      <c r="F95" s="30">
        <v>2505.9</v>
      </c>
      <c r="G95" s="59" t="s">
        <v>546</v>
      </c>
      <c r="H95" s="59" t="s">
        <v>12</v>
      </c>
      <c r="I95" s="59" t="s">
        <v>546</v>
      </c>
      <c r="J95" t="s">
        <v>270</v>
      </c>
    </row>
    <row r="96" spans="1:10" s="86" customFormat="1" ht="18" customHeight="1" x14ac:dyDescent="0.25">
      <c r="A96" s="85">
        <v>93</v>
      </c>
      <c r="B96" s="59" t="s">
        <v>788</v>
      </c>
      <c r="C96" s="59" t="s">
        <v>801</v>
      </c>
      <c r="D96" s="59" t="s">
        <v>59</v>
      </c>
      <c r="E96" s="30" t="s">
        <v>43</v>
      </c>
      <c r="F96" s="30">
        <v>200</v>
      </c>
      <c r="G96" s="59" t="s">
        <v>576</v>
      </c>
      <c r="H96" s="59" t="s">
        <v>931</v>
      </c>
      <c r="I96" s="59" t="s">
        <v>546</v>
      </c>
      <c r="J96" t="s">
        <v>270</v>
      </c>
    </row>
    <row r="97" spans="1:10" s="86" customFormat="1" ht="18" customHeight="1" x14ac:dyDescent="0.25">
      <c r="A97" s="85">
        <v>94</v>
      </c>
      <c r="B97" s="59" t="s">
        <v>802</v>
      </c>
      <c r="C97" s="59" t="s">
        <v>803</v>
      </c>
      <c r="D97" s="59" t="s">
        <v>59</v>
      </c>
      <c r="E97" s="30" t="s">
        <v>43</v>
      </c>
      <c r="F97" s="30">
        <v>2000</v>
      </c>
      <c r="G97" s="59" t="s">
        <v>762</v>
      </c>
      <c r="H97" s="59" t="s">
        <v>595</v>
      </c>
      <c r="I97" s="59" t="s">
        <v>422</v>
      </c>
      <c r="J97" t="s">
        <v>270</v>
      </c>
    </row>
    <row r="98" spans="1:10" s="86" customFormat="1" ht="18" customHeight="1" x14ac:dyDescent="0.25">
      <c r="A98" s="85">
        <v>95</v>
      </c>
      <c r="B98" s="59" t="s">
        <v>802</v>
      </c>
      <c r="C98" s="59" t="s">
        <v>804</v>
      </c>
      <c r="D98" s="59" t="s">
        <v>59</v>
      </c>
      <c r="E98" s="30" t="s">
        <v>43</v>
      </c>
      <c r="F98" s="30">
        <v>1380</v>
      </c>
      <c r="G98" s="59" t="s">
        <v>899</v>
      </c>
      <c r="H98" s="59" t="s">
        <v>889</v>
      </c>
      <c r="I98" s="59" t="s">
        <v>899</v>
      </c>
      <c r="J98" t="s">
        <v>270</v>
      </c>
    </row>
    <row r="99" spans="1:10" s="86" customFormat="1" ht="18" customHeight="1" x14ac:dyDescent="0.25">
      <c r="A99" s="85">
        <v>96</v>
      </c>
      <c r="B99" s="59" t="s">
        <v>802</v>
      </c>
      <c r="C99" s="59" t="s">
        <v>805</v>
      </c>
      <c r="D99" s="59" t="s">
        <v>264</v>
      </c>
      <c r="E99" s="30" t="s">
        <v>54</v>
      </c>
      <c r="F99" s="30">
        <v>50000</v>
      </c>
      <c r="G99" s="59" t="s">
        <v>67</v>
      </c>
      <c r="H99" s="59" t="s">
        <v>54</v>
      </c>
      <c r="I99" s="59" t="s">
        <v>264</v>
      </c>
      <c r="J99" t="s">
        <v>278</v>
      </c>
    </row>
    <row r="100" spans="1:10" s="86" customFormat="1" ht="18" customHeight="1" x14ac:dyDescent="0.25">
      <c r="A100" s="85">
        <v>97</v>
      </c>
      <c r="B100" s="59" t="s">
        <v>802</v>
      </c>
      <c r="C100" s="59" t="s">
        <v>806</v>
      </c>
      <c r="D100" s="59" t="s">
        <v>264</v>
      </c>
      <c r="E100" s="30" t="s">
        <v>54</v>
      </c>
      <c r="F100" s="30">
        <v>20000</v>
      </c>
      <c r="G100" s="59" t="s">
        <v>67</v>
      </c>
      <c r="H100" s="59" t="s">
        <v>54</v>
      </c>
      <c r="I100" s="59" t="s">
        <v>264</v>
      </c>
      <c r="J100" t="s">
        <v>278</v>
      </c>
    </row>
    <row r="101" spans="1:10" s="86" customFormat="1" ht="18" customHeight="1" x14ac:dyDescent="0.25">
      <c r="A101" s="85">
        <v>98</v>
      </c>
      <c r="B101" s="59" t="s">
        <v>802</v>
      </c>
      <c r="C101" s="59" t="s">
        <v>807</v>
      </c>
      <c r="D101" s="59" t="s">
        <v>59</v>
      </c>
      <c r="E101" s="30" t="s">
        <v>43</v>
      </c>
      <c r="F101" s="30">
        <v>20000</v>
      </c>
      <c r="G101" s="59" t="s">
        <v>724</v>
      </c>
      <c r="H101" s="59" t="s">
        <v>595</v>
      </c>
      <c r="I101" s="59" t="s">
        <v>599</v>
      </c>
      <c r="J101" t="s">
        <v>270</v>
      </c>
    </row>
    <row r="102" spans="1:10" s="86" customFormat="1" ht="18" customHeight="1" x14ac:dyDescent="0.25">
      <c r="A102" s="85">
        <v>99</v>
      </c>
      <c r="B102" s="59" t="s">
        <v>802</v>
      </c>
      <c r="C102" s="59" t="s">
        <v>808</v>
      </c>
      <c r="D102" s="59" t="s">
        <v>605</v>
      </c>
      <c r="E102" s="30" t="s">
        <v>35</v>
      </c>
      <c r="F102" s="30">
        <v>5000</v>
      </c>
      <c r="G102" s="59" t="s">
        <v>900</v>
      </c>
      <c r="H102" s="59" t="s">
        <v>390</v>
      </c>
      <c r="I102" s="59" t="s">
        <v>587</v>
      </c>
      <c r="J102" t="s">
        <v>270</v>
      </c>
    </row>
    <row r="103" spans="1:10" s="86" customFormat="1" ht="18" customHeight="1" x14ac:dyDescent="0.25">
      <c r="A103" s="85">
        <v>100</v>
      </c>
      <c r="B103" s="59" t="s">
        <v>802</v>
      </c>
      <c r="C103" s="59" t="s">
        <v>809</v>
      </c>
      <c r="D103" s="59" t="s">
        <v>59</v>
      </c>
      <c r="E103" s="30" t="s">
        <v>43</v>
      </c>
      <c r="F103" s="30">
        <v>20000</v>
      </c>
      <c r="G103" s="59" t="s">
        <v>722</v>
      </c>
      <c r="H103" s="59" t="s">
        <v>595</v>
      </c>
      <c r="I103" s="59" t="s">
        <v>721</v>
      </c>
      <c r="J103" t="s">
        <v>270</v>
      </c>
    </row>
    <row r="104" spans="1:10" s="86" customFormat="1" ht="18" customHeight="1" x14ac:dyDescent="0.25">
      <c r="A104" s="85">
        <v>101</v>
      </c>
      <c r="B104" s="59" t="s">
        <v>802</v>
      </c>
      <c r="C104" s="59" t="s">
        <v>810</v>
      </c>
      <c r="D104" s="59" t="s">
        <v>716</v>
      </c>
      <c r="E104" s="30" t="s">
        <v>220</v>
      </c>
      <c r="F104" s="30">
        <v>8550</v>
      </c>
      <c r="G104" s="59" t="s">
        <v>103</v>
      </c>
      <c r="H104" s="59" t="s">
        <v>390</v>
      </c>
      <c r="I104" s="59" t="s">
        <v>715</v>
      </c>
      <c r="J104" t="s">
        <v>270</v>
      </c>
    </row>
    <row r="105" spans="1:10" s="86" customFormat="1" ht="18" customHeight="1" x14ac:dyDescent="0.25">
      <c r="A105" s="85">
        <v>102</v>
      </c>
      <c r="B105" s="59" t="s">
        <v>802</v>
      </c>
      <c r="C105" s="59" t="s">
        <v>811</v>
      </c>
      <c r="D105" s="59" t="s">
        <v>622</v>
      </c>
      <c r="E105" s="30" t="s">
        <v>38</v>
      </c>
      <c r="F105" s="30">
        <v>3819</v>
      </c>
      <c r="G105" s="59" t="s">
        <v>146</v>
      </c>
      <c r="H105" s="59" t="s">
        <v>64</v>
      </c>
      <c r="I105" s="59" t="s">
        <v>439</v>
      </c>
      <c r="J105" t="s">
        <v>270</v>
      </c>
    </row>
    <row r="106" spans="1:10" s="86" customFormat="1" ht="18" customHeight="1" x14ac:dyDescent="0.25">
      <c r="A106" s="85">
        <v>103</v>
      </c>
      <c r="B106" s="59" t="s">
        <v>802</v>
      </c>
      <c r="C106" s="59" t="s">
        <v>812</v>
      </c>
      <c r="D106" s="59" t="s">
        <v>59</v>
      </c>
      <c r="E106" s="30" t="s">
        <v>43</v>
      </c>
      <c r="F106" s="30">
        <v>3000</v>
      </c>
      <c r="G106" s="59" t="s">
        <v>890</v>
      </c>
      <c r="H106" s="59" t="s">
        <v>574</v>
      </c>
      <c r="I106" s="59" t="s">
        <v>891</v>
      </c>
      <c r="J106" t="s">
        <v>270</v>
      </c>
    </row>
    <row r="107" spans="1:10" s="86" customFormat="1" ht="18" customHeight="1" x14ac:dyDescent="0.25">
      <c r="A107" s="85">
        <v>104</v>
      </c>
      <c r="B107" s="59" t="s">
        <v>802</v>
      </c>
      <c r="C107" s="59" t="s">
        <v>813</v>
      </c>
      <c r="D107" s="59" t="s">
        <v>59</v>
      </c>
      <c r="E107" s="30" t="s">
        <v>43</v>
      </c>
      <c r="F107" s="30">
        <v>300</v>
      </c>
      <c r="G107" s="59" t="s">
        <v>765</v>
      </c>
      <c r="H107" s="59" t="s">
        <v>931</v>
      </c>
      <c r="I107" s="59" t="s">
        <v>378</v>
      </c>
      <c r="J107" t="s">
        <v>270</v>
      </c>
    </row>
    <row r="108" spans="1:10" s="86" customFormat="1" ht="18" customHeight="1" x14ac:dyDescent="0.25">
      <c r="A108" s="85">
        <v>105</v>
      </c>
      <c r="B108" s="59" t="s">
        <v>814</v>
      </c>
      <c r="C108" s="59" t="s">
        <v>815</v>
      </c>
      <c r="D108" s="59" t="s">
        <v>59</v>
      </c>
      <c r="E108" s="30" t="s">
        <v>43</v>
      </c>
      <c r="F108" s="30">
        <v>2000</v>
      </c>
      <c r="G108" s="59" t="s">
        <v>12</v>
      </c>
      <c r="H108" s="59" t="s">
        <v>574</v>
      </c>
      <c r="I108" s="59" t="s">
        <v>378</v>
      </c>
      <c r="J108" t="s">
        <v>270</v>
      </c>
    </row>
    <row r="109" spans="1:10" s="86" customFormat="1" ht="18" customHeight="1" x14ac:dyDescent="0.25">
      <c r="A109" s="85">
        <v>106</v>
      </c>
      <c r="B109" s="59" t="s">
        <v>814</v>
      </c>
      <c r="C109" s="59" t="s">
        <v>816</v>
      </c>
      <c r="D109" s="59" t="s">
        <v>716</v>
      </c>
      <c r="E109" s="30" t="s">
        <v>220</v>
      </c>
      <c r="F109" s="30">
        <v>6350</v>
      </c>
      <c r="G109" s="59" t="s">
        <v>600</v>
      </c>
      <c r="H109" s="59" t="s">
        <v>902</v>
      </c>
      <c r="I109" s="59" t="s">
        <v>901</v>
      </c>
      <c r="J109" t="s">
        <v>270</v>
      </c>
    </row>
    <row r="110" spans="1:10" s="86" customFormat="1" ht="18" customHeight="1" x14ac:dyDescent="0.25">
      <c r="A110" s="85">
        <v>107</v>
      </c>
      <c r="B110" s="59" t="s">
        <v>814</v>
      </c>
      <c r="C110" s="59" t="s">
        <v>817</v>
      </c>
      <c r="D110" s="59" t="s">
        <v>59</v>
      </c>
      <c r="E110" s="30" t="s">
        <v>43</v>
      </c>
      <c r="F110" s="30">
        <v>600</v>
      </c>
      <c r="G110" s="59" t="s">
        <v>765</v>
      </c>
      <c r="H110" s="59" t="s">
        <v>931</v>
      </c>
      <c r="I110" s="59" t="s">
        <v>378</v>
      </c>
      <c r="J110" t="s">
        <v>270</v>
      </c>
    </row>
    <row r="111" spans="1:10" s="86" customFormat="1" ht="18" customHeight="1" x14ac:dyDescent="0.25">
      <c r="A111" s="85">
        <v>108</v>
      </c>
      <c r="B111" s="59" t="s">
        <v>818</v>
      </c>
      <c r="C111" s="59" t="s">
        <v>819</v>
      </c>
      <c r="D111" s="59" t="s">
        <v>411</v>
      </c>
      <c r="E111" s="30" t="s">
        <v>43</v>
      </c>
      <c r="F111" s="30">
        <v>63</v>
      </c>
      <c r="G111" s="59" t="s">
        <v>556</v>
      </c>
      <c r="H111" s="59" t="s">
        <v>760</v>
      </c>
      <c r="I111" s="59" t="s">
        <v>417</v>
      </c>
      <c r="J111" t="s">
        <v>270</v>
      </c>
    </row>
    <row r="112" spans="1:10" s="86" customFormat="1" ht="18" customHeight="1" x14ac:dyDescent="0.25">
      <c r="A112" s="85">
        <v>109</v>
      </c>
      <c r="B112" s="59" t="s">
        <v>818</v>
      </c>
      <c r="C112" s="59" t="s">
        <v>820</v>
      </c>
      <c r="D112" s="59" t="s">
        <v>264</v>
      </c>
      <c r="E112" s="30" t="s">
        <v>54</v>
      </c>
      <c r="F112" s="30">
        <v>10000</v>
      </c>
      <c r="G112" s="59" t="s">
        <v>67</v>
      </c>
      <c r="H112" s="59" t="s">
        <v>736</v>
      </c>
      <c r="I112" s="59" t="s">
        <v>264</v>
      </c>
      <c r="J112" t="s">
        <v>278</v>
      </c>
    </row>
    <row r="113" spans="1:10" s="86" customFormat="1" ht="18" customHeight="1" x14ac:dyDescent="0.25">
      <c r="A113" s="85">
        <v>110</v>
      </c>
      <c r="B113" s="59" t="s">
        <v>818</v>
      </c>
      <c r="C113" s="59" t="s">
        <v>821</v>
      </c>
      <c r="D113" s="59" t="s">
        <v>59</v>
      </c>
      <c r="E113" s="30" t="s">
        <v>43</v>
      </c>
      <c r="F113" s="30">
        <v>2000</v>
      </c>
      <c r="G113" s="59" t="s">
        <v>429</v>
      </c>
      <c r="H113" s="59" t="s">
        <v>574</v>
      </c>
      <c r="I113" s="59" t="s">
        <v>888</v>
      </c>
      <c r="J113" t="s">
        <v>270</v>
      </c>
    </row>
    <row r="114" spans="1:10" s="86" customFormat="1" ht="18" customHeight="1" x14ac:dyDescent="0.25">
      <c r="A114" s="85">
        <v>111</v>
      </c>
      <c r="B114" s="59" t="s">
        <v>818</v>
      </c>
      <c r="C114" s="59" t="s">
        <v>822</v>
      </c>
      <c r="D114" s="59" t="s">
        <v>605</v>
      </c>
      <c r="E114" s="30" t="s">
        <v>35</v>
      </c>
      <c r="F114" s="30">
        <v>1605</v>
      </c>
      <c r="G114" s="59" t="s">
        <v>718</v>
      </c>
      <c r="H114" s="59" t="s">
        <v>931</v>
      </c>
      <c r="I114" s="59" t="s">
        <v>903</v>
      </c>
      <c r="J114" t="s">
        <v>270</v>
      </c>
    </row>
    <row r="115" spans="1:10" s="86" customFormat="1" ht="18" customHeight="1" x14ac:dyDescent="0.25">
      <c r="A115" s="85">
        <v>112</v>
      </c>
      <c r="B115" s="59" t="s">
        <v>818</v>
      </c>
      <c r="C115" s="59" t="s">
        <v>823</v>
      </c>
      <c r="D115" s="59" t="s">
        <v>411</v>
      </c>
      <c r="E115" s="30" t="s">
        <v>41</v>
      </c>
      <c r="F115" s="30">
        <v>1700</v>
      </c>
      <c r="G115" s="59" t="s">
        <v>905</v>
      </c>
      <c r="H115" s="59" t="s">
        <v>760</v>
      </c>
      <c r="I115" s="59" t="s">
        <v>904</v>
      </c>
      <c r="J115" t="s">
        <v>270</v>
      </c>
    </row>
    <row r="116" spans="1:10" s="86" customFormat="1" ht="18" customHeight="1" x14ac:dyDescent="0.25">
      <c r="A116" s="85">
        <v>113</v>
      </c>
      <c r="B116" s="59" t="s">
        <v>818</v>
      </c>
      <c r="C116" s="59" t="s">
        <v>824</v>
      </c>
      <c r="D116" s="59" t="s">
        <v>411</v>
      </c>
      <c r="E116" s="30" t="s">
        <v>41</v>
      </c>
      <c r="F116" s="30">
        <v>700</v>
      </c>
      <c r="G116" s="59" t="s">
        <v>907</v>
      </c>
      <c r="H116" s="59" t="s">
        <v>760</v>
      </c>
      <c r="I116" s="59" t="s">
        <v>906</v>
      </c>
      <c r="J116" t="s">
        <v>270</v>
      </c>
    </row>
    <row r="117" spans="1:10" s="86" customFormat="1" ht="18" customHeight="1" x14ac:dyDescent="0.25">
      <c r="A117" s="85">
        <v>114</v>
      </c>
      <c r="B117" s="59" t="s">
        <v>818</v>
      </c>
      <c r="C117" s="59" t="s">
        <v>825</v>
      </c>
      <c r="D117" s="59" t="s">
        <v>411</v>
      </c>
      <c r="E117" s="30" t="s">
        <v>41</v>
      </c>
      <c r="F117" s="30">
        <v>650</v>
      </c>
      <c r="G117" s="59" t="s">
        <v>909</v>
      </c>
      <c r="H117" s="59" t="s">
        <v>760</v>
      </c>
      <c r="I117" s="59" t="s">
        <v>908</v>
      </c>
      <c r="J117" t="s">
        <v>270</v>
      </c>
    </row>
    <row r="118" spans="1:10" s="86" customFormat="1" ht="18" customHeight="1" x14ac:dyDescent="0.25">
      <c r="A118" s="85">
        <v>115</v>
      </c>
      <c r="B118" s="59" t="s">
        <v>826</v>
      </c>
      <c r="C118" s="59" t="s">
        <v>827</v>
      </c>
      <c r="D118" s="59" t="s">
        <v>716</v>
      </c>
      <c r="E118" s="30" t="s">
        <v>220</v>
      </c>
      <c r="F118" s="30">
        <v>1500</v>
      </c>
      <c r="G118" s="59" t="s">
        <v>17</v>
      </c>
      <c r="H118" s="59" t="s">
        <v>595</v>
      </c>
      <c r="I118" s="59" t="s">
        <v>422</v>
      </c>
      <c r="J118" t="s">
        <v>270</v>
      </c>
    </row>
    <row r="119" spans="1:10" s="86" customFormat="1" ht="18" customHeight="1" x14ac:dyDescent="0.25">
      <c r="A119" s="85">
        <v>116</v>
      </c>
      <c r="B119" s="59" t="s">
        <v>826</v>
      </c>
      <c r="C119" s="59" t="s">
        <v>828</v>
      </c>
      <c r="D119" s="59" t="s">
        <v>59</v>
      </c>
      <c r="E119" s="30" t="s">
        <v>43</v>
      </c>
      <c r="F119" s="30">
        <v>2000</v>
      </c>
      <c r="G119" s="59" t="s">
        <v>911</v>
      </c>
      <c r="H119" s="59" t="s">
        <v>910</v>
      </c>
      <c r="I119" s="59" t="s">
        <v>204</v>
      </c>
      <c r="J119" t="s">
        <v>270</v>
      </c>
    </row>
    <row r="120" spans="1:10" s="86" customFormat="1" ht="18" customHeight="1" x14ac:dyDescent="0.25">
      <c r="A120" s="85">
        <v>117</v>
      </c>
      <c r="B120" s="59" t="s">
        <v>826</v>
      </c>
      <c r="C120" s="59" t="s">
        <v>829</v>
      </c>
      <c r="D120" s="59" t="s">
        <v>59</v>
      </c>
      <c r="E120" s="30" t="s">
        <v>43</v>
      </c>
      <c r="F120" s="30">
        <v>50</v>
      </c>
      <c r="G120" s="59" t="s">
        <v>913</v>
      </c>
      <c r="H120" s="59" t="s">
        <v>910</v>
      </c>
      <c r="I120" s="59" t="s">
        <v>912</v>
      </c>
      <c r="J120" t="s">
        <v>270</v>
      </c>
    </row>
    <row r="121" spans="1:10" s="86" customFormat="1" ht="18" customHeight="1" x14ac:dyDescent="0.25">
      <c r="A121" s="85">
        <v>118</v>
      </c>
      <c r="B121" s="59" t="s">
        <v>826</v>
      </c>
      <c r="C121" s="59" t="s">
        <v>830</v>
      </c>
      <c r="D121" s="59" t="s">
        <v>264</v>
      </c>
      <c r="E121" s="30" t="s">
        <v>54</v>
      </c>
      <c r="F121" s="30">
        <v>20000</v>
      </c>
      <c r="G121" s="59" t="s">
        <v>67</v>
      </c>
      <c r="H121" s="59" t="s">
        <v>54</v>
      </c>
      <c r="I121" s="59" t="s">
        <v>264</v>
      </c>
      <c r="J121" t="s">
        <v>278</v>
      </c>
    </row>
    <row r="122" spans="1:10" s="86" customFormat="1" ht="18" customHeight="1" x14ac:dyDescent="0.25">
      <c r="A122" s="85">
        <v>119</v>
      </c>
      <c r="B122" s="59" t="s">
        <v>826</v>
      </c>
      <c r="C122" s="59" t="s">
        <v>831</v>
      </c>
      <c r="D122" s="59" t="s">
        <v>59</v>
      </c>
      <c r="E122" s="30" t="s">
        <v>43</v>
      </c>
      <c r="F122" s="30">
        <v>4480</v>
      </c>
      <c r="G122" s="59" t="s">
        <v>915</v>
      </c>
      <c r="H122" s="59" t="s">
        <v>910</v>
      </c>
      <c r="I122" s="59" t="s">
        <v>914</v>
      </c>
      <c r="J122" t="s">
        <v>270</v>
      </c>
    </row>
    <row r="123" spans="1:10" s="86" customFormat="1" ht="18" customHeight="1" x14ac:dyDescent="0.25">
      <c r="A123" s="85">
        <v>120</v>
      </c>
      <c r="B123" s="59" t="s">
        <v>826</v>
      </c>
      <c r="C123" s="59" t="s">
        <v>832</v>
      </c>
      <c r="D123" s="59" t="s">
        <v>59</v>
      </c>
      <c r="E123" s="30" t="s">
        <v>43</v>
      </c>
      <c r="F123" s="30">
        <v>2000</v>
      </c>
      <c r="G123" s="59" t="s">
        <v>12</v>
      </c>
      <c r="H123" s="59" t="s">
        <v>595</v>
      </c>
      <c r="I123" s="59" t="s">
        <v>546</v>
      </c>
      <c r="J123" t="s">
        <v>270</v>
      </c>
    </row>
    <row r="124" spans="1:10" s="86" customFormat="1" ht="18" customHeight="1" x14ac:dyDescent="0.25">
      <c r="A124" s="85">
        <v>121</v>
      </c>
      <c r="B124" s="59" t="s">
        <v>826</v>
      </c>
      <c r="C124" s="59" t="s">
        <v>833</v>
      </c>
      <c r="D124" s="59" t="s">
        <v>411</v>
      </c>
      <c r="E124" s="30" t="s">
        <v>41</v>
      </c>
      <c r="F124" s="30">
        <v>3000</v>
      </c>
      <c r="G124" s="59" t="s">
        <v>65</v>
      </c>
      <c r="H124" s="59" t="s">
        <v>575</v>
      </c>
      <c r="I124" s="59" t="s">
        <v>908</v>
      </c>
      <c r="J124" t="s">
        <v>270</v>
      </c>
    </row>
    <row r="125" spans="1:10" s="86" customFormat="1" ht="18" customHeight="1" x14ac:dyDescent="0.25">
      <c r="A125" s="85">
        <v>122</v>
      </c>
      <c r="B125" s="59" t="s">
        <v>834</v>
      </c>
      <c r="C125" s="59" t="s">
        <v>835</v>
      </c>
      <c r="D125" s="59" t="s">
        <v>59</v>
      </c>
      <c r="E125" s="30" t="s">
        <v>43</v>
      </c>
      <c r="F125" s="30">
        <v>2000</v>
      </c>
      <c r="G125" s="59" t="s">
        <v>12</v>
      </c>
      <c r="H125" s="59" t="s">
        <v>574</v>
      </c>
      <c r="I125" s="59" t="s">
        <v>546</v>
      </c>
      <c r="J125" t="s">
        <v>270</v>
      </c>
    </row>
    <row r="126" spans="1:10" s="86" customFormat="1" ht="18" customHeight="1" x14ac:dyDescent="0.25">
      <c r="A126" s="85">
        <v>123</v>
      </c>
      <c r="B126" s="59" t="s">
        <v>834</v>
      </c>
      <c r="C126" s="59" t="s">
        <v>836</v>
      </c>
      <c r="D126" s="59" t="s">
        <v>59</v>
      </c>
      <c r="E126" s="30" t="s">
        <v>43</v>
      </c>
      <c r="F126" s="30">
        <v>1410</v>
      </c>
      <c r="G126" s="59" t="s">
        <v>916</v>
      </c>
      <c r="H126" s="59" t="s">
        <v>910</v>
      </c>
      <c r="I126" s="59" t="s">
        <v>546</v>
      </c>
      <c r="J126" t="s">
        <v>270</v>
      </c>
    </row>
    <row r="127" spans="1:10" s="86" customFormat="1" ht="18" customHeight="1" x14ac:dyDescent="0.25">
      <c r="A127" s="85">
        <v>124</v>
      </c>
      <c r="B127" s="59" t="s">
        <v>834</v>
      </c>
      <c r="C127" s="59" t="s">
        <v>837</v>
      </c>
      <c r="D127" s="59" t="s">
        <v>59</v>
      </c>
      <c r="E127" s="30" t="s">
        <v>43</v>
      </c>
      <c r="F127" s="30">
        <v>1150</v>
      </c>
      <c r="G127" s="59" t="s">
        <v>916</v>
      </c>
      <c r="H127" s="59" t="s">
        <v>910</v>
      </c>
      <c r="I127" s="59" t="s">
        <v>546</v>
      </c>
      <c r="J127" t="s">
        <v>270</v>
      </c>
    </row>
    <row r="128" spans="1:10" s="86" customFormat="1" ht="18" customHeight="1" x14ac:dyDescent="0.25">
      <c r="A128" s="85">
        <v>125</v>
      </c>
      <c r="B128" s="59" t="s">
        <v>834</v>
      </c>
      <c r="C128" s="59" t="s">
        <v>838</v>
      </c>
      <c r="D128" s="59" t="s">
        <v>59</v>
      </c>
      <c r="E128" s="30" t="s">
        <v>43</v>
      </c>
      <c r="F128" s="30">
        <v>122</v>
      </c>
      <c r="G128" s="59" t="s">
        <v>918</v>
      </c>
      <c r="H128" s="59" t="s">
        <v>910</v>
      </c>
      <c r="I128" s="59" t="s">
        <v>917</v>
      </c>
      <c r="J128" t="s">
        <v>270</v>
      </c>
    </row>
    <row r="129" spans="1:10" s="86" customFormat="1" ht="18" customHeight="1" x14ac:dyDescent="0.25">
      <c r="A129" s="85">
        <v>126</v>
      </c>
      <c r="B129" s="59" t="s">
        <v>834</v>
      </c>
      <c r="C129" s="59" t="s">
        <v>839</v>
      </c>
      <c r="D129" s="59" t="s">
        <v>264</v>
      </c>
      <c r="E129" s="30" t="s">
        <v>54</v>
      </c>
      <c r="F129" s="30">
        <v>65000</v>
      </c>
      <c r="G129" s="59" t="s">
        <v>67</v>
      </c>
      <c r="H129" s="59" t="s">
        <v>54</v>
      </c>
      <c r="I129" s="59" t="s">
        <v>264</v>
      </c>
      <c r="J129" t="s">
        <v>278</v>
      </c>
    </row>
    <row r="130" spans="1:10" s="86" customFormat="1" ht="18" customHeight="1" x14ac:dyDescent="0.25">
      <c r="A130" s="85">
        <v>127</v>
      </c>
      <c r="B130" s="59" t="s">
        <v>834</v>
      </c>
      <c r="C130" s="59" t="s">
        <v>840</v>
      </c>
      <c r="D130" s="59" t="s">
        <v>411</v>
      </c>
      <c r="E130" s="30" t="s">
        <v>36</v>
      </c>
      <c r="F130" s="30">
        <v>2400</v>
      </c>
      <c r="G130" s="59" t="s">
        <v>919</v>
      </c>
      <c r="H130" s="59" t="s">
        <v>575</v>
      </c>
      <c r="I130" s="59" t="s">
        <v>919</v>
      </c>
      <c r="J130" t="s">
        <v>270</v>
      </c>
    </row>
    <row r="131" spans="1:10" s="86" customFormat="1" ht="18" customHeight="1" x14ac:dyDescent="0.25">
      <c r="A131" s="85">
        <v>128</v>
      </c>
      <c r="B131" s="59" t="s">
        <v>834</v>
      </c>
      <c r="C131" s="59" t="s">
        <v>841</v>
      </c>
      <c r="D131" s="59" t="s">
        <v>716</v>
      </c>
      <c r="E131" s="30" t="s">
        <v>220</v>
      </c>
      <c r="F131" s="30">
        <v>58000</v>
      </c>
      <c r="G131" s="59" t="s">
        <v>724</v>
      </c>
      <c r="H131" s="59" t="s">
        <v>574</v>
      </c>
      <c r="I131" s="59" t="s">
        <v>599</v>
      </c>
      <c r="J131" t="s">
        <v>270</v>
      </c>
    </row>
    <row r="132" spans="1:10" s="86" customFormat="1" ht="18" customHeight="1" x14ac:dyDescent="0.25">
      <c r="A132" s="85">
        <v>129</v>
      </c>
      <c r="B132" s="59" t="s">
        <v>834</v>
      </c>
      <c r="C132" s="59" t="s">
        <v>842</v>
      </c>
      <c r="D132" s="59" t="s">
        <v>59</v>
      </c>
      <c r="E132" s="30" t="s">
        <v>43</v>
      </c>
      <c r="F132" s="30">
        <v>3300</v>
      </c>
      <c r="G132" s="59" t="s">
        <v>920</v>
      </c>
      <c r="H132" s="59" t="s">
        <v>574</v>
      </c>
      <c r="I132" s="59" t="s">
        <v>891</v>
      </c>
      <c r="J132" t="s">
        <v>270</v>
      </c>
    </row>
    <row r="133" spans="1:10" s="86" customFormat="1" ht="18" customHeight="1" x14ac:dyDescent="0.25">
      <c r="A133" s="85">
        <v>130</v>
      </c>
      <c r="B133" s="59" t="s">
        <v>834</v>
      </c>
      <c r="C133" s="59" t="s">
        <v>843</v>
      </c>
      <c r="D133" s="59" t="s">
        <v>59</v>
      </c>
      <c r="E133" s="30" t="s">
        <v>43</v>
      </c>
      <c r="F133" s="30">
        <v>1500</v>
      </c>
      <c r="G133" s="59" t="s">
        <v>65</v>
      </c>
      <c r="H133" s="59" t="s">
        <v>910</v>
      </c>
      <c r="I133" s="59" t="s">
        <v>546</v>
      </c>
      <c r="J133" t="s">
        <v>270</v>
      </c>
    </row>
    <row r="134" spans="1:10" s="86" customFormat="1" ht="18" customHeight="1" x14ac:dyDescent="0.25">
      <c r="A134" s="85">
        <v>131</v>
      </c>
      <c r="B134" s="59" t="s">
        <v>834</v>
      </c>
      <c r="C134" s="59" t="s">
        <v>844</v>
      </c>
      <c r="D134" s="59" t="s">
        <v>716</v>
      </c>
      <c r="E134" s="30" t="s">
        <v>220</v>
      </c>
      <c r="F134" s="30">
        <v>1280.95</v>
      </c>
      <c r="G134" s="59" t="s">
        <v>159</v>
      </c>
      <c r="H134" s="59" t="s">
        <v>923</v>
      </c>
      <c r="I134" s="59" t="s">
        <v>423</v>
      </c>
      <c r="J134" t="s">
        <v>270</v>
      </c>
    </row>
    <row r="135" spans="1:10" s="86" customFormat="1" ht="18" customHeight="1" x14ac:dyDescent="0.25">
      <c r="A135" s="85">
        <v>132</v>
      </c>
      <c r="B135" s="59" t="s">
        <v>845</v>
      </c>
      <c r="C135" s="59" t="s">
        <v>846</v>
      </c>
      <c r="D135" s="59" t="s">
        <v>622</v>
      </c>
      <c r="E135" s="30" t="s">
        <v>38</v>
      </c>
      <c r="F135" s="30">
        <v>399.9</v>
      </c>
      <c r="G135" s="59" t="s">
        <v>759</v>
      </c>
      <c r="H135" s="59" t="s">
        <v>64</v>
      </c>
      <c r="I135" s="59" t="s">
        <v>152</v>
      </c>
      <c r="J135" t="s">
        <v>270</v>
      </c>
    </row>
    <row r="136" spans="1:10" s="86" customFormat="1" ht="18" customHeight="1" x14ac:dyDescent="0.25">
      <c r="A136" s="85">
        <v>133</v>
      </c>
      <c r="B136" s="59" t="s">
        <v>845</v>
      </c>
      <c r="C136" s="59" t="s">
        <v>847</v>
      </c>
      <c r="D136" s="59" t="s">
        <v>411</v>
      </c>
      <c r="E136" s="30" t="s">
        <v>41</v>
      </c>
      <c r="F136" s="30">
        <v>100</v>
      </c>
      <c r="G136" s="59" t="s">
        <v>99</v>
      </c>
      <c r="H136" s="59" t="s">
        <v>575</v>
      </c>
      <c r="I136" s="59" t="s">
        <v>924</v>
      </c>
      <c r="J136" t="s">
        <v>270</v>
      </c>
    </row>
    <row r="137" spans="1:10" s="86" customFormat="1" ht="18" customHeight="1" x14ac:dyDescent="0.25">
      <c r="A137" s="85">
        <v>134</v>
      </c>
      <c r="B137" s="59" t="s">
        <v>845</v>
      </c>
      <c r="C137" s="59" t="s">
        <v>848</v>
      </c>
      <c r="D137" s="59" t="s">
        <v>59</v>
      </c>
      <c r="E137" s="30" t="s">
        <v>43</v>
      </c>
      <c r="F137" s="30">
        <v>2050</v>
      </c>
      <c r="G137" s="59" t="s">
        <v>925</v>
      </c>
      <c r="H137" s="59" t="s">
        <v>923</v>
      </c>
      <c r="I137" s="59" t="s">
        <v>586</v>
      </c>
      <c r="J137" t="s">
        <v>270</v>
      </c>
    </row>
    <row r="138" spans="1:10" s="86" customFormat="1" ht="18" customHeight="1" x14ac:dyDescent="0.25">
      <c r="A138" s="85">
        <v>135</v>
      </c>
      <c r="B138" s="59" t="s">
        <v>845</v>
      </c>
      <c r="C138" s="59" t="s">
        <v>849</v>
      </c>
      <c r="D138" s="59" t="s">
        <v>59</v>
      </c>
      <c r="E138" s="30" t="s">
        <v>43</v>
      </c>
      <c r="F138" s="30">
        <v>1000</v>
      </c>
      <c r="G138" s="59" t="s">
        <v>12</v>
      </c>
      <c r="H138" s="59" t="s">
        <v>923</v>
      </c>
      <c r="I138" s="59" t="s">
        <v>378</v>
      </c>
      <c r="J138" t="s">
        <v>270</v>
      </c>
    </row>
    <row r="139" spans="1:10" s="86" customFormat="1" ht="18" customHeight="1" x14ac:dyDescent="0.25">
      <c r="A139" s="85">
        <v>136</v>
      </c>
      <c r="B139" s="59" t="s">
        <v>845</v>
      </c>
      <c r="C139" s="59" t="s">
        <v>850</v>
      </c>
      <c r="D139" s="59" t="s">
        <v>59</v>
      </c>
      <c r="E139" s="30" t="s">
        <v>43</v>
      </c>
      <c r="F139" s="30">
        <v>1000</v>
      </c>
      <c r="G139" s="59" t="s">
        <v>740</v>
      </c>
      <c r="H139" s="59" t="s">
        <v>923</v>
      </c>
      <c r="I139" s="59" t="s">
        <v>378</v>
      </c>
      <c r="J139" t="s">
        <v>270</v>
      </c>
    </row>
    <row r="140" spans="1:10" s="86" customFormat="1" ht="18" customHeight="1" x14ac:dyDescent="0.25">
      <c r="A140" s="85">
        <v>137</v>
      </c>
      <c r="B140" s="59" t="s">
        <v>851</v>
      </c>
      <c r="C140" s="59" t="s">
        <v>852</v>
      </c>
      <c r="D140" s="59" t="s">
        <v>264</v>
      </c>
      <c r="E140" s="30" t="s">
        <v>54</v>
      </c>
      <c r="F140" s="30">
        <v>10000</v>
      </c>
      <c r="G140" s="59" t="s">
        <v>67</v>
      </c>
      <c r="H140" s="59" t="s">
        <v>54</v>
      </c>
      <c r="I140" s="59" t="s">
        <v>264</v>
      </c>
      <c r="J140" t="s">
        <v>278</v>
      </c>
    </row>
    <row r="141" spans="1:10" s="86" customFormat="1" ht="18" customHeight="1" x14ac:dyDescent="0.25">
      <c r="A141" s="85">
        <v>138</v>
      </c>
      <c r="B141" s="59" t="s">
        <v>851</v>
      </c>
      <c r="C141" s="59" t="s">
        <v>853</v>
      </c>
      <c r="D141" s="59" t="s">
        <v>59</v>
      </c>
      <c r="E141" s="30" t="s">
        <v>43</v>
      </c>
      <c r="F141" s="30">
        <v>4000</v>
      </c>
      <c r="G141" s="59" t="s">
        <v>12</v>
      </c>
      <c r="H141" s="59" t="s">
        <v>923</v>
      </c>
      <c r="I141" s="59" t="s">
        <v>546</v>
      </c>
      <c r="J141" t="s">
        <v>270</v>
      </c>
    </row>
    <row r="142" spans="1:10" s="86" customFormat="1" ht="18" customHeight="1" x14ac:dyDescent="0.25">
      <c r="A142" s="85">
        <v>139</v>
      </c>
      <c r="B142" s="59" t="s">
        <v>851</v>
      </c>
      <c r="C142" s="59" t="s">
        <v>854</v>
      </c>
      <c r="D142" s="59" t="s">
        <v>411</v>
      </c>
      <c r="E142" s="30" t="s">
        <v>41</v>
      </c>
      <c r="F142" s="30">
        <v>150</v>
      </c>
      <c r="G142" s="59" t="s">
        <v>926</v>
      </c>
      <c r="H142" s="59" t="s">
        <v>575</v>
      </c>
      <c r="I142" s="59" t="s">
        <v>417</v>
      </c>
      <c r="J142" t="s">
        <v>270</v>
      </c>
    </row>
    <row r="143" spans="1:10" s="86" customFormat="1" ht="18" customHeight="1" x14ac:dyDescent="0.25">
      <c r="A143" s="85">
        <v>140</v>
      </c>
      <c r="B143" s="59" t="s">
        <v>851</v>
      </c>
      <c r="C143" s="59" t="s">
        <v>855</v>
      </c>
      <c r="D143" s="59" t="s">
        <v>59</v>
      </c>
      <c r="E143" s="30" t="s">
        <v>43</v>
      </c>
      <c r="F143" s="30">
        <v>1500</v>
      </c>
      <c r="G143" s="59" t="s">
        <v>740</v>
      </c>
      <c r="H143" s="59" t="s">
        <v>923</v>
      </c>
      <c r="I143" s="59" t="s">
        <v>378</v>
      </c>
      <c r="J143" t="s">
        <v>270</v>
      </c>
    </row>
    <row r="144" spans="1:10" s="86" customFormat="1" ht="18" customHeight="1" x14ac:dyDescent="0.25">
      <c r="A144" s="85">
        <v>141</v>
      </c>
      <c r="B144" s="59" t="s">
        <v>851</v>
      </c>
      <c r="C144" s="59" t="s">
        <v>856</v>
      </c>
      <c r="D144" s="59" t="s">
        <v>59</v>
      </c>
      <c r="E144" s="30" t="s">
        <v>43</v>
      </c>
      <c r="F144" s="30">
        <v>1000</v>
      </c>
      <c r="G144" s="59" t="s">
        <v>747</v>
      </c>
      <c r="H144" s="59" t="s">
        <v>889</v>
      </c>
      <c r="I144" s="59" t="s">
        <v>546</v>
      </c>
      <c r="J144" t="s">
        <v>270</v>
      </c>
    </row>
    <row r="145" spans="1:10" s="86" customFormat="1" ht="18" customHeight="1" x14ac:dyDescent="0.25">
      <c r="A145" s="85">
        <v>142</v>
      </c>
      <c r="B145" s="59" t="s">
        <v>851</v>
      </c>
      <c r="C145" s="59" t="s">
        <v>857</v>
      </c>
      <c r="D145" s="59" t="s">
        <v>59</v>
      </c>
      <c r="E145" s="30" t="s">
        <v>43</v>
      </c>
      <c r="F145" s="30">
        <v>1500</v>
      </c>
      <c r="G145" s="59" t="s">
        <v>12</v>
      </c>
      <c r="H145" s="59" t="s">
        <v>923</v>
      </c>
      <c r="I145" s="59" t="s">
        <v>546</v>
      </c>
      <c r="J145" t="s">
        <v>270</v>
      </c>
    </row>
    <row r="146" spans="1:10" s="86" customFormat="1" ht="18" customHeight="1" x14ac:dyDescent="0.25">
      <c r="A146" s="85">
        <v>143</v>
      </c>
      <c r="B146" s="59" t="s">
        <v>851</v>
      </c>
      <c r="C146" s="59" t="s">
        <v>858</v>
      </c>
      <c r="D146" s="59" t="s">
        <v>264</v>
      </c>
      <c r="E146" s="30" t="s">
        <v>54</v>
      </c>
      <c r="F146" s="30">
        <v>10000</v>
      </c>
      <c r="G146" s="59" t="s">
        <v>67</v>
      </c>
      <c r="H146" s="59" t="s">
        <v>54</v>
      </c>
      <c r="I146" s="59" t="s">
        <v>264</v>
      </c>
      <c r="J146" t="s">
        <v>278</v>
      </c>
    </row>
    <row r="147" spans="1:10" s="86" customFormat="1" ht="18" customHeight="1" x14ac:dyDescent="0.25">
      <c r="A147" s="85">
        <v>144</v>
      </c>
      <c r="B147" s="59" t="s">
        <v>851</v>
      </c>
      <c r="C147" s="59" t="s">
        <v>859</v>
      </c>
      <c r="D147" s="59" t="s">
        <v>59</v>
      </c>
      <c r="E147" s="30" t="s">
        <v>43</v>
      </c>
      <c r="F147" s="30">
        <v>10000</v>
      </c>
      <c r="G147" s="59" t="s">
        <v>737</v>
      </c>
      <c r="H147" s="59" t="s">
        <v>390</v>
      </c>
      <c r="I147" s="59" t="s">
        <v>587</v>
      </c>
      <c r="J147" t="s">
        <v>270</v>
      </c>
    </row>
    <row r="148" spans="1:10" s="86" customFormat="1" ht="18" customHeight="1" x14ac:dyDescent="0.25">
      <c r="A148" s="85">
        <v>145</v>
      </c>
      <c r="B148" s="59" t="s">
        <v>851</v>
      </c>
      <c r="C148" s="59" t="s">
        <v>860</v>
      </c>
      <c r="D148" s="59" t="s">
        <v>264</v>
      </c>
      <c r="E148" s="30" t="s">
        <v>54</v>
      </c>
      <c r="F148" s="30">
        <v>20000</v>
      </c>
      <c r="G148" s="59" t="s">
        <v>67</v>
      </c>
      <c r="H148" s="59" t="s">
        <v>54</v>
      </c>
      <c r="I148" s="59" t="s">
        <v>264</v>
      </c>
      <c r="J148" t="s">
        <v>278</v>
      </c>
    </row>
    <row r="149" spans="1:10" s="86" customFormat="1" ht="18" customHeight="1" x14ac:dyDescent="0.25">
      <c r="A149" s="85">
        <v>146</v>
      </c>
      <c r="B149" s="59" t="s">
        <v>851</v>
      </c>
      <c r="C149" s="59" t="s">
        <v>861</v>
      </c>
      <c r="D149" s="59" t="s">
        <v>59</v>
      </c>
      <c r="E149" s="30" t="s">
        <v>43</v>
      </c>
      <c r="F149" s="30">
        <v>10000</v>
      </c>
      <c r="G149" s="59" t="s">
        <v>500</v>
      </c>
      <c r="H149" s="59" t="s">
        <v>923</v>
      </c>
      <c r="I149" s="59" t="s">
        <v>927</v>
      </c>
      <c r="J149" t="s">
        <v>270</v>
      </c>
    </row>
    <row r="150" spans="1:10" s="86" customFormat="1" ht="18" customHeight="1" x14ac:dyDescent="0.25">
      <c r="A150" s="85">
        <v>147</v>
      </c>
      <c r="B150" s="59" t="s">
        <v>851</v>
      </c>
      <c r="C150" s="59" t="s">
        <v>862</v>
      </c>
      <c r="D150" s="59" t="s">
        <v>59</v>
      </c>
      <c r="E150" s="30" t="s">
        <v>43</v>
      </c>
      <c r="F150" s="30">
        <v>5000</v>
      </c>
      <c r="G150" s="59" t="s">
        <v>65</v>
      </c>
      <c r="H150" s="59" t="s">
        <v>923</v>
      </c>
      <c r="I150" s="59" t="s">
        <v>927</v>
      </c>
      <c r="J150" t="s">
        <v>270</v>
      </c>
    </row>
    <row r="151" spans="1:10" s="86" customFormat="1" ht="18" customHeight="1" x14ac:dyDescent="0.25">
      <c r="A151" s="85">
        <v>148</v>
      </c>
      <c r="B151" s="59" t="s">
        <v>851</v>
      </c>
      <c r="C151" s="59" t="s">
        <v>863</v>
      </c>
      <c r="D151" s="59" t="s">
        <v>714</v>
      </c>
      <c r="E151" s="30" t="s">
        <v>220</v>
      </c>
      <c r="F151" s="30">
        <v>2000</v>
      </c>
      <c r="G151" s="59" t="s">
        <v>17</v>
      </c>
      <c r="H151" s="59" t="s">
        <v>923</v>
      </c>
      <c r="I151" s="59" t="s">
        <v>422</v>
      </c>
      <c r="J151" t="s">
        <v>270</v>
      </c>
    </row>
    <row r="152" spans="1:10" s="86" customFormat="1" ht="18" customHeight="1" x14ac:dyDescent="0.25">
      <c r="A152" s="85">
        <v>149</v>
      </c>
      <c r="B152" s="59" t="s">
        <v>851</v>
      </c>
      <c r="C152" s="59" t="s">
        <v>864</v>
      </c>
      <c r="D152" s="59" t="s">
        <v>59</v>
      </c>
      <c r="E152" s="30" t="s">
        <v>43</v>
      </c>
      <c r="F152" s="30">
        <v>190</v>
      </c>
      <c r="G152" s="59" t="s">
        <v>928</v>
      </c>
      <c r="H152" s="59" t="s">
        <v>923</v>
      </c>
      <c r="I152" s="59" t="s">
        <v>378</v>
      </c>
      <c r="J152" t="s">
        <v>270</v>
      </c>
    </row>
    <row r="153" spans="1:10" s="86" customFormat="1" ht="18" customHeight="1" x14ac:dyDescent="0.25">
      <c r="A153" s="85">
        <v>150</v>
      </c>
      <c r="B153" s="59" t="s">
        <v>851</v>
      </c>
      <c r="C153" s="59" t="s">
        <v>865</v>
      </c>
      <c r="D153" s="59" t="s">
        <v>59</v>
      </c>
      <c r="E153" s="30" t="s">
        <v>43</v>
      </c>
      <c r="F153" s="30">
        <v>78</v>
      </c>
      <c r="G153" s="59" t="s">
        <v>929</v>
      </c>
      <c r="H153" s="59" t="s">
        <v>923</v>
      </c>
      <c r="I153" s="59" t="s">
        <v>378</v>
      </c>
      <c r="J153" t="s">
        <v>270</v>
      </c>
    </row>
    <row r="154" spans="1:10" s="86" customFormat="1" ht="18" customHeight="1" x14ac:dyDescent="0.25">
      <c r="A154" s="85">
        <v>151</v>
      </c>
      <c r="B154" s="59" t="s">
        <v>851</v>
      </c>
      <c r="C154" s="59" t="s">
        <v>866</v>
      </c>
      <c r="D154" s="59" t="s">
        <v>59</v>
      </c>
      <c r="E154" s="30" t="s">
        <v>43</v>
      </c>
      <c r="F154" s="30">
        <v>120</v>
      </c>
      <c r="G154" s="59" t="s">
        <v>930</v>
      </c>
      <c r="H154" s="59" t="s">
        <v>923</v>
      </c>
      <c r="I154" s="59" t="s">
        <v>378</v>
      </c>
      <c r="J154" t="s">
        <v>270</v>
      </c>
    </row>
    <row r="155" spans="1:10" s="86" customFormat="1" ht="18" customHeight="1" x14ac:dyDescent="0.25">
      <c r="A155" s="85">
        <v>152</v>
      </c>
      <c r="B155" s="59" t="s">
        <v>867</v>
      </c>
      <c r="C155" s="59" t="s">
        <v>868</v>
      </c>
      <c r="D155" s="59" t="s">
        <v>59</v>
      </c>
      <c r="E155" s="30" t="s">
        <v>43</v>
      </c>
      <c r="F155" s="30">
        <v>65</v>
      </c>
      <c r="G155" s="59" t="s">
        <v>928</v>
      </c>
      <c r="H155" s="59" t="s">
        <v>923</v>
      </c>
      <c r="I155" s="59" t="s">
        <v>378</v>
      </c>
      <c r="J155" t="s">
        <v>270</v>
      </c>
    </row>
    <row r="156" spans="1:10" s="86" customFormat="1" ht="18" customHeight="1" x14ac:dyDescent="0.25">
      <c r="A156" s="85">
        <v>153</v>
      </c>
      <c r="B156" s="59" t="s">
        <v>867</v>
      </c>
      <c r="C156" s="59" t="s">
        <v>869</v>
      </c>
      <c r="D156" s="59" t="s">
        <v>59</v>
      </c>
      <c r="E156" s="30" t="s">
        <v>43</v>
      </c>
      <c r="F156" s="30">
        <v>4000</v>
      </c>
      <c r="G156" s="59" t="s">
        <v>747</v>
      </c>
      <c r="H156" s="59" t="s">
        <v>889</v>
      </c>
      <c r="I156" s="59" t="s">
        <v>546</v>
      </c>
      <c r="J156" t="s">
        <v>270</v>
      </c>
    </row>
    <row r="157" spans="1:10" s="86" customFormat="1" ht="18" customHeight="1" x14ac:dyDescent="0.25">
      <c r="A157" s="85">
        <v>154</v>
      </c>
      <c r="B157" s="59" t="s">
        <v>867</v>
      </c>
      <c r="C157" s="59" t="s">
        <v>870</v>
      </c>
      <c r="D157" s="59" t="s">
        <v>264</v>
      </c>
      <c r="E157" s="30" t="s">
        <v>54</v>
      </c>
      <c r="F157" s="30">
        <v>20000</v>
      </c>
      <c r="G157" s="59" t="s">
        <v>67</v>
      </c>
      <c r="H157" s="59" t="s">
        <v>54</v>
      </c>
      <c r="I157" s="59" t="s">
        <v>264</v>
      </c>
      <c r="J157" t="s">
        <v>278</v>
      </c>
    </row>
    <row r="158" spans="1:10" s="86" customFormat="1" ht="18" customHeight="1" x14ac:dyDescent="0.25">
      <c r="A158" s="85">
        <v>155</v>
      </c>
      <c r="B158" s="59" t="s">
        <v>867</v>
      </c>
      <c r="C158" s="59" t="s">
        <v>871</v>
      </c>
      <c r="D158" s="59" t="s">
        <v>264</v>
      </c>
      <c r="E158" s="30" t="s">
        <v>54</v>
      </c>
      <c r="F158" s="30">
        <v>20000</v>
      </c>
      <c r="G158" s="59" t="s">
        <v>67</v>
      </c>
      <c r="H158" s="59" t="s">
        <v>54</v>
      </c>
      <c r="I158" s="59" t="s">
        <v>264</v>
      </c>
      <c r="J158" t="s">
        <v>278</v>
      </c>
    </row>
    <row r="159" spans="1:10" s="86" customFormat="1" ht="18" customHeight="1" x14ac:dyDescent="0.25">
      <c r="A159" s="85">
        <v>156</v>
      </c>
      <c r="B159" s="59" t="s">
        <v>867</v>
      </c>
      <c r="C159" s="59" t="s">
        <v>872</v>
      </c>
      <c r="D159" s="59" t="s">
        <v>59</v>
      </c>
      <c r="E159" s="30" t="s">
        <v>43</v>
      </c>
      <c r="F159" s="30">
        <v>20000</v>
      </c>
      <c r="G159" s="59" t="s">
        <v>722</v>
      </c>
      <c r="H159" s="59" t="s">
        <v>574</v>
      </c>
      <c r="I159" s="59" t="s">
        <v>721</v>
      </c>
      <c r="J159" t="s">
        <v>270</v>
      </c>
    </row>
    <row r="160" spans="1:10" s="86" customFormat="1" ht="18" customHeight="1" x14ac:dyDescent="0.25">
      <c r="A160" s="85">
        <v>157</v>
      </c>
      <c r="B160" s="59" t="s">
        <v>867</v>
      </c>
      <c r="C160" s="59" t="s">
        <v>873</v>
      </c>
      <c r="D160" s="59" t="s">
        <v>59</v>
      </c>
      <c r="E160" s="30" t="s">
        <v>43</v>
      </c>
      <c r="F160" s="30">
        <v>3000</v>
      </c>
      <c r="G160" s="59" t="s">
        <v>932</v>
      </c>
      <c r="H160" s="59" t="s">
        <v>574</v>
      </c>
      <c r="I160" s="59" t="s">
        <v>546</v>
      </c>
      <c r="J160" t="s">
        <v>270</v>
      </c>
    </row>
    <row r="161" spans="1:10" s="86" customFormat="1" ht="18" customHeight="1" x14ac:dyDescent="0.25">
      <c r="A161" s="85">
        <v>158</v>
      </c>
      <c r="B161" s="59" t="s">
        <v>867</v>
      </c>
      <c r="C161" s="59" t="s">
        <v>874</v>
      </c>
      <c r="D161" s="59" t="s">
        <v>59</v>
      </c>
      <c r="E161" s="30" t="s">
        <v>43</v>
      </c>
      <c r="F161" s="30">
        <v>6160</v>
      </c>
      <c r="G161" s="59" t="s">
        <v>933</v>
      </c>
      <c r="H161" s="59" t="s">
        <v>390</v>
      </c>
      <c r="I161" s="59" t="s">
        <v>934</v>
      </c>
      <c r="J161" t="s">
        <v>270</v>
      </c>
    </row>
    <row r="162" spans="1:10" s="86" customFormat="1" ht="18" customHeight="1" x14ac:dyDescent="0.25">
      <c r="A162" s="85">
        <v>159</v>
      </c>
      <c r="B162" s="59" t="s">
        <v>867</v>
      </c>
      <c r="C162" s="59" t="s">
        <v>875</v>
      </c>
      <c r="D162" s="59" t="s">
        <v>59</v>
      </c>
      <c r="E162" s="30" t="s">
        <v>43</v>
      </c>
      <c r="F162" s="30">
        <v>3000</v>
      </c>
      <c r="G162" s="59" t="s">
        <v>429</v>
      </c>
      <c r="H162" s="59" t="s">
        <v>574</v>
      </c>
      <c r="I162" s="59" t="s">
        <v>546</v>
      </c>
      <c r="J162" t="s">
        <v>270</v>
      </c>
    </row>
    <row r="163" spans="1:10" s="86" customFormat="1" ht="18" customHeight="1" x14ac:dyDescent="0.25">
      <c r="A163" s="85">
        <v>160</v>
      </c>
      <c r="B163" s="59" t="s">
        <v>867</v>
      </c>
      <c r="C163" s="59" t="s">
        <v>876</v>
      </c>
      <c r="D163" s="59" t="s">
        <v>59</v>
      </c>
      <c r="E163" s="30" t="s">
        <v>43</v>
      </c>
      <c r="F163" s="30">
        <v>80</v>
      </c>
      <c r="G163" s="59" t="s">
        <v>935</v>
      </c>
      <c r="H163" s="59" t="s">
        <v>574</v>
      </c>
      <c r="I163" s="59" t="s">
        <v>378</v>
      </c>
      <c r="J163" t="s">
        <v>270</v>
      </c>
    </row>
    <row r="164" spans="1:10" s="86" customFormat="1" ht="18" customHeight="1" x14ac:dyDescent="0.25">
      <c r="A164" s="85">
        <v>161</v>
      </c>
      <c r="B164" s="59" t="s">
        <v>867</v>
      </c>
      <c r="C164" s="59" t="s">
        <v>877</v>
      </c>
      <c r="D164" s="59" t="s">
        <v>59</v>
      </c>
      <c r="E164" s="30" t="s">
        <v>43</v>
      </c>
      <c r="F164" s="30">
        <v>1000</v>
      </c>
      <c r="G164" s="59" t="s">
        <v>765</v>
      </c>
      <c r="H164" s="59" t="s">
        <v>921</v>
      </c>
      <c r="I164" s="59" t="s">
        <v>936</v>
      </c>
      <c r="J164" t="s">
        <v>270</v>
      </c>
    </row>
    <row r="165" spans="1:10" s="86" customFormat="1" ht="18" customHeight="1" x14ac:dyDescent="0.25">
      <c r="A165" s="85">
        <v>162</v>
      </c>
      <c r="B165" s="59" t="s">
        <v>867</v>
      </c>
      <c r="C165" s="59" t="s">
        <v>878</v>
      </c>
      <c r="D165" s="59" t="s">
        <v>59</v>
      </c>
      <c r="E165" s="30" t="s">
        <v>43</v>
      </c>
      <c r="F165" s="30">
        <v>400</v>
      </c>
      <c r="G165" s="59" t="s">
        <v>765</v>
      </c>
      <c r="H165" s="59" t="s">
        <v>627</v>
      </c>
      <c r="I165" s="59" t="s">
        <v>937</v>
      </c>
      <c r="J165" t="s">
        <v>270</v>
      </c>
    </row>
    <row r="166" spans="1:10" s="86" customFormat="1" ht="18" customHeight="1" x14ac:dyDescent="0.25">
      <c r="A166" s="85">
        <v>163</v>
      </c>
      <c r="B166" s="59" t="s">
        <v>867</v>
      </c>
      <c r="C166" s="59" t="s">
        <v>879</v>
      </c>
      <c r="D166" s="59" t="s">
        <v>938</v>
      </c>
      <c r="E166" s="30" t="s">
        <v>212</v>
      </c>
      <c r="F166" s="30">
        <v>18</v>
      </c>
      <c r="G166" s="59" t="s">
        <v>940</v>
      </c>
      <c r="H166" s="59" t="s">
        <v>64</v>
      </c>
      <c r="I166" s="59" t="s">
        <v>939</v>
      </c>
      <c r="J166" t="s">
        <v>270</v>
      </c>
    </row>
    <row r="167" spans="1:10" s="86" customFormat="1" ht="18" customHeight="1" x14ac:dyDescent="0.25">
      <c r="A167" s="85">
        <v>164</v>
      </c>
      <c r="B167" s="59" t="s">
        <v>867</v>
      </c>
      <c r="C167" s="59" t="s">
        <v>880</v>
      </c>
      <c r="D167" s="59" t="s">
        <v>938</v>
      </c>
      <c r="E167" s="30" t="s">
        <v>212</v>
      </c>
      <c r="F167" s="30">
        <v>100</v>
      </c>
      <c r="G167" s="59" t="s">
        <v>941</v>
      </c>
      <c r="H167" s="59" t="s">
        <v>64</v>
      </c>
      <c r="I167" s="59" t="s">
        <v>941</v>
      </c>
      <c r="J167" t="s">
        <v>270</v>
      </c>
    </row>
    <row r="168" spans="1:10" s="86" customFormat="1" ht="18" customHeight="1" x14ac:dyDescent="0.25">
      <c r="A168" s="85">
        <v>165</v>
      </c>
      <c r="B168" s="59" t="s">
        <v>881</v>
      </c>
      <c r="C168" s="59" t="s">
        <v>882</v>
      </c>
      <c r="D168" s="59" t="s">
        <v>411</v>
      </c>
      <c r="E168" s="30" t="s">
        <v>41</v>
      </c>
      <c r="F168" s="30">
        <v>4000</v>
      </c>
      <c r="G168" s="59" t="s">
        <v>576</v>
      </c>
      <c r="H168" s="59" t="s">
        <v>575</v>
      </c>
      <c r="I168" s="59" t="s">
        <v>942</v>
      </c>
      <c r="J168" t="s">
        <v>270</v>
      </c>
    </row>
    <row r="169" spans="1:10" s="86" customFormat="1" ht="18" customHeight="1" x14ac:dyDescent="0.25">
      <c r="A169" s="85">
        <v>166</v>
      </c>
      <c r="B169" s="59" t="s">
        <v>881</v>
      </c>
      <c r="C169" s="59" t="s">
        <v>883</v>
      </c>
      <c r="D169" s="59" t="s">
        <v>264</v>
      </c>
      <c r="E169" s="30" t="s">
        <v>54</v>
      </c>
      <c r="F169" s="30">
        <v>25000</v>
      </c>
      <c r="G169" s="59" t="s">
        <v>67</v>
      </c>
      <c r="H169" s="59" t="s">
        <v>54</v>
      </c>
      <c r="I169" s="59" t="s">
        <v>264</v>
      </c>
      <c r="J169" t="s">
        <v>278</v>
      </c>
    </row>
    <row r="170" spans="1:10" s="86" customFormat="1" ht="18" customHeight="1" x14ac:dyDescent="0.25">
      <c r="A170" s="85">
        <v>167</v>
      </c>
      <c r="B170" s="59" t="s">
        <v>881</v>
      </c>
      <c r="C170" s="59" t="s">
        <v>884</v>
      </c>
      <c r="D170" s="59" t="s">
        <v>59</v>
      </c>
      <c r="E170" s="30" t="s">
        <v>43</v>
      </c>
      <c r="F170" s="30">
        <v>476</v>
      </c>
      <c r="G170" s="59" t="s">
        <v>943</v>
      </c>
      <c r="H170" s="59" t="s">
        <v>923</v>
      </c>
      <c r="I170" s="59" t="s">
        <v>378</v>
      </c>
      <c r="J170" t="s">
        <v>270</v>
      </c>
    </row>
    <row r="171" spans="1:10" s="86" customFormat="1" ht="18" customHeight="1" x14ac:dyDescent="0.25">
      <c r="A171" s="85">
        <v>168</v>
      </c>
      <c r="B171" s="59" t="s">
        <v>881</v>
      </c>
      <c r="C171" s="59" t="s">
        <v>885</v>
      </c>
      <c r="D171" s="59" t="s">
        <v>716</v>
      </c>
      <c r="E171" s="30" t="s">
        <v>220</v>
      </c>
      <c r="F171" s="30">
        <v>5000</v>
      </c>
      <c r="G171" s="59" t="s">
        <v>724</v>
      </c>
      <c r="H171" s="59" t="s">
        <v>923</v>
      </c>
      <c r="I171" s="59" t="s">
        <v>922</v>
      </c>
      <c r="J171" t="s">
        <v>270</v>
      </c>
    </row>
    <row r="172" spans="1:10" s="86" customFormat="1" ht="18" customHeight="1" x14ac:dyDescent="0.25">
      <c r="A172" s="85">
        <v>169</v>
      </c>
      <c r="B172" s="59" t="s">
        <v>881</v>
      </c>
      <c r="C172" s="59" t="s">
        <v>886</v>
      </c>
      <c r="D172" s="59" t="s">
        <v>59</v>
      </c>
      <c r="E172" s="30" t="s">
        <v>43</v>
      </c>
      <c r="F172" s="30">
        <v>130</v>
      </c>
      <c r="G172" s="59" t="s">
        <v>944</v>
      </c>
      <c r="H172" s="59" t="s">
        <v>923</v>
      </c>
      <c r="I172" s="59" t="s">
        <v>378</v>
      </c>
      <c r="J172" t="s">
        <v>270</v>
      </c>
    </row>
    <row r="173" spans="1:10" s="86" customFormat="1" ht="18" customHeight="1" x14ac:dyDescent="0.25">
      <c r="A173" s="85">
        <v>170</v>
      </c>
      <c r="B173" s="59" t="s">
        <v>945</v>
      </c>
      <c r="C173" s="59" t="s">
        <v>952</v>
      </c>
      <c r="D173" s="59" t="s">
        <v>59</v>
      </c>
      <c r="E173" s="30" t="s">
        <v>43</v>
      </c>
      <c r="F173" s="30">
        <v>120</v>
      </c>
      <c r="G173" s="59" t="s">
        <v>928</v>
      </c>
      <c r="H173" s="59" t="s">
        <v>595</v>
      </c>
      <c r="I173" s="59" t="s">
        <v>378</v>
      </c>
      <c r="J173" t="s">
        <v>270</v>
      </c>
    </row>
    <row r="174" spans="1:10" s="86" customFormat="1" ht="18" customHeight="1" x14ac:dyDescent="0.25">
      <c r="A174" s="85">
        <v>171</v>
      </c>
      <c r="B174" s="59" t="s">
        <v>945</v>
      </c>
      <c r="C174" s="59" t="s">
        <v>953</v>
      </c>
      <c r="D174" s="59" t="s">
        <v>59</v>
      </c>
      <c r="E174" s="30" t="s">
        <v>43</v>
      </c>
      <c r="F174" s="30">
        <v>2100</v>
      </c>
      <c r="G174" s="59" t="s">
        <v>1063</v>
      </c>
      <c r="H174" s="59" t="s">
        <v>1061</v>
      </c>
      <c r="I174" s="59" t="s">
        <v>1062</v>
      </c>
      <c r="J174" t="s">
        <v>270</v>
      </c>
    </row>
    <row r="175" spans="1:10" s="86" customFormat="1" ht="18" customHeight="1" x14ac:dyDescent="0.25">
      <c r="A175" s="85">
        <v>172</v>
      </c>
      <c r="B175" s="59" t="s">
        <v>945</v>
      </c>
      <c r="C175" s="59" t="s">
        <v>954</v>
      </c>
      <c r="D175" s="59" t="s">
        <v>59</v>
      </c>
      <c r="E175" s="30" t="s">
        <v>43</v>
      </c>
      <c r="F175" s="30">
        <v>2000</v>
      </c>
      <c r="G175" s="59" t="s">
        <v>12</v>
      </c>
      <c r="H175" s="59" t="s">
        <v>574</v>
      </c>
      <c r="I175" s="59" t="s">
        <v>546</v>
      </c>
      <c r="J175" t="s">
        <v>270</v>
      </c>
    </row>
    <row r="176" spans="1:10" s="86" customFormat="1" ht="18" customHeight="1" x14ac:dyDescent="0.25">
      <c r="A176" s="85">
        <v>173</v>
      </c>
      <c r="B176" s="59" t="s">
        <v>945</v>
      </c>
      <c r="C176" s="59" t="s">
        <v>955</v>
      </c>
      <c r="D176" s="59" t="s">
        <v>716</v>
      </c>
      <c r="E176" s="30" t="s">
        <v>220</v>
      </c>
      <c r="F176" s="30">
        <v>5900</v>
      </c>
      <c r="G176" s="59" t="s">
        <v>600</v>
      </c>
      <c r="H176" s="59" t="s">
        <v>627</v>
      </c>
      <c r="I176" s="59" t="s">
        <v>81</v>
      </c>
      <c r="J176" t="s">
        <v>270</v>
      </c>
    </row>
    <row r="177" spans="1:10" s="86" customFormat="1" ht="18" customHeight="1" x14ac:dyDescent="0.25">
      <c r="A177" s="85">
        <v>174</v>
      </c>
      <c r="B177" s="59" t="s">
        <v>945</v>
      </c>
      <c r="C177" s="59" t="s">
        <v>956</v>
      </c>
      <c r="D177" s="59" t="s">
        <v>59</v>
      </c>
      <c r="E177" s="30" t="s">
        <v>43</v>
      </c>
      <c r="F177" s="30">
        <v>2000</v>
      </c>
      <c r="G177" s="59" t="s">
        <v>12</v>
      </c>
      <c r="H177" s="59" t="s">
        <v>574</v>
      </c>
      <c r="I177" s="59" t="s">
        <v>546</v>
      </c>
      <c r="J177" t="s">
        <v>270</v>
      </c>
    </row>
    <row r="178" spans="1:10" s="86" customFormat="1" ht="18" customHeight="1" x14ac:dyDescent="0.25">
      <c r="A178" s="85">
        <v>175</v>
      </c>
      <c r="B178" s="59" t="s">
        <v>945</v>
      </c>
      <c r="C178" s="59" t="s">
        <v>957</v>
      </c>
      <c r="D178" s="59" t="s">
        <v>59</v>
      </c>
      <c r="E178" s="30" t="s">
        <v>43</v>
      </c>
      <c r="F178" s="30">
        <v>6000</v>
      </c>
      <c r="G178" s="59" t="s">
        <v>1041</v>
      </c>
      <c r="H178" s="59" t="s">
        <v>1061</v>
      </c>
      <c r="I178" s="59" t="s">
        <v>1040</v>
      </c>
      <c r="J178" t="s">
        <v>270</v>
      </c>
    </row>
    <row r="179" spans="1:10" s="86" customFormat="1" ht="18" customHeight="1" x14ac:dyDescent="0.25">
      <c r="A179" s="85">
        <v>176</v>
      </c>
      <c r="B179" s="59" t="s">
        <v>945</v>
      </c>
      <c r="C179" s="59" t="s">
        <v>958</v>
      </c>
      <c r="D179" s="59" t="s">
        <v>264</v>
      </c>
      <c r="E179" s="30" t="s">
        <v>54</v>
      </c>
      <c r="F179" s="30">
        <v>10000</v>
      </c>
      <c r="G179" s="59" t="s">
        <v>67</v>
      </c>
      <c r="H179" s="59" t="s">
        <v>54</v>
      </c>
      <c r="I179" s="59" t="s">
        <v>264</v>
      </c>
      <c r="J179" t="s">
        <v>278</v>
      </c>
    </row>
    <row r="180" spans="1:10" s="86" customFormat="1" ht="18" customHeight="1" x14ac:dyDescent="0.25">
      <c r="A180" s="85">
        <v>177</v>
      </c>
      <c r="B180" s="59" t="s">
        <v>945</v>
      </c>
      <c r="C180" s="59" t="s">
        <v>959</v>
      </c>
      <c r="D180" s="59" t="s">
        <v>411</v>
      </c>
      <c r="E180" s="30" t="s">
        <v>41</v>
      </c>
      <c r="F180" s="30">
        <v>1000</v>
      </c>
      <c r="G180" s="59" t="s">
        <v>576</v>
      </c>
      <c r="H180" s="59" t="s">
        <v>575</v>
      </c>
      <c r="I180" s="59" t="s">
        <v>378</v>
      </c>
      <c r="J180" t="s">
        <v>270</v>
      </c>
    </row>
    <row r="181" spans="1:10" s="86" customFormat="1" ht="18" customHeight="1" x14ac:dyDescent="0.25">
      <c r="A181" s="85">
        <v>178</v>
      </c>
      <c r="B181" s="59" t="s">
        <v>945</v>
      </c>
      <c r="C181" s="59" t="s">
        <v>960</v>
      </c>
      <c r="D181" s="59" t="s">
        <v>605</v>
      </c>
      <c r="E181" s="30" t="s">
        <v>35</v>
      </c>
      <c r="F181" s="30">
        <v>2000</v>
      </c>
      <c r="G181" s="59" t="s">
        <v>739</v>
      </c>
      <c r="H181" s="59" t="s">
        <v>390</v>
      </c>
      <c r="I181" s="59" t="s">
        <v>587</v>
      </c>
      <c r="J181" t="s">
        <v>270</v>
      </c>
    </row>
    <row r="182" spans="1:10" s="86" customFormat="1" ht="18" customHeight="1" x14ac:dyDescent="0.25">
      <c r="A182" s="85">
        <v>179</v>
      </c>
      <c r="B182" s="59" t="s">
        <v>945</v>
      </c>
      <c r="C182" s="59" t="s">
        <v>961</v>
      </c>
      <c r="D182" s="59" t="s">
        <v>605</v>
      </c>
      <c r="E182" s="30" t="s">
        <v>35</v>
      </c>
      <c r="F182" s="30">
        <v>8000</v>
      </c>
      <c r="G182" s="59" t="s">
        <v>739</v>
      </c>
      <c r="H182" s="59" t="s">
        <v>390</v>
      </c>
      <c r="I182" s="59" t="s">
        <v>587</v>
      </c>
      <c r="J182" t="s">
        <v>270</v>
      </c>
    </row>
    <row r="183" spans="1:10" s="86" customFormat="1" ht="18" customHeight="1" x14ac:dyDescent="0.25">
      <c r="A183" s="85">
        <v>180</v>
      </c>
      <c r="B183" s="59" t="s">
        <v>945</v>
      </c>
      <c r="C183" s="59" t="s">
        <v>962</v>
      </c>
      <c r="D183" s="59" t="s">
        <v>59</v>
      </c>
      <c r="E183" s="30" t="s">
        <v>43</v>
      </c>
      <c r="F183" s="30">
        <v>200</v>
      </c>
      <c r="G183" s="59" t="s">
        <v>1042</v>
      </c>
      <c r="H183" s="59" t="s">
        <v>424</v>
      </c>
      <c r="I183" s="59" t="s">
        <v>378</v>
      </c>
      <c r="J183" t="s">
        <v>270</v>
      </c>
    </row>
    <row r="184" spans="1:10" s="86" customFormat="1" ht="18" customHeight="1" x14ac:dyDescent="0.25">
      <c r="A184" s="85">
        <v>181</v>
      </c>
      <c r="B184" s="59" t="s">
        <v>945</v>
      </c>
      <c r="C184" s="59" t="s">
        <v>963</v>
      </c>
      <c r="D184" s="59" t="s">
        <v>264</v>
      </c>
      <c r="E184" s="30" t="s">
        <v>54</v>
      </c>
      <c r="F184" s="30">
        <v>15000</v>
      </c>
      <c r="G184" s="59" t="s">
        <v>67</v>
      </c>
      <c r="H184" s="59" t="s">
        <v>54</v>
      </c>
      <c r="I184" s="59" t="s">
        <v>264</v>
      </c>
      <c r="J184" t="s">
        <v>278</v>
      </c>
    </row>
    <row r="185" spans="1:10" s="86" customFormat="1" ht="18" customHeight="1" x14ac:dyDescent="0.25">
      <c r="A185" s="85">
        <v>182</v>
      </c>
      <c r="B185" s="59" t="s">
        <v>945</v>
      </c>
      <c r="C185" s="59" t="s">
        <v>964</v>
      </c>
      <c r="D185" s="59" t="s">
        <v>605</v>
      </c>
      <c r="E185" s="30" t="s">
        <v>35</v>
      </c>
      <c r="F185" s="30">
        <v>3000</v>
      </c>
      <c r="G185" s="59" t="s">
        <v>739</v>
      </c>
      <c r="H185" s="59" t="s">
        <v>390</v>
      </c>
      <c r="I185" s="59" t="s">
        <v>587</v>
      </c>
      <c r="J185" t="s">
        <v>270</v>
      </c>
    </row>
    <row r="186" spans="1:10" s="86" customFormat="1" ht="18" customHeight="1" x14ac:dyDescent="0.25">
      <c r="A186" s="85">
        <v>183</v>
      </c>
      <c r="B186" s="59" t="s">
        <v>945</v>
      </c>
      <c r="C186" s="59" t="s">
        <v>965</v>
      </c>
      <c r="D186" s="59" t="s">
        <v>411</v>
      </c>
      <c r="E186" s="30" t="s">
        <v>41</v>
      </c>
      <c r="F186" s="30">
        <v>4000</v>
      </c>
      <c r="G186" s="59" t="s">
        <v>1044</v>
      </c>
      <c r="H186" s="59" t="s">
        <v>575</v>
      </c>
      <c r="I186" s="59" t="s">
        <v>1043</v>
      </c>
      <c r="J186" t="s">
        <v>270</v>
      </c>
    </row>
    <row r="187" spans="1:10" s="86" customFormat="1" ht="18" customHeight="1" x14ac:dyDescent="0.25">
      <c r="A187" s="85">
        <v>184</v>
      </c>
      <c r="B187" s="59" t="s">
        <v>945</v>
      </c>
      <c r="C187" s="59" t="s">
        <v>966</v>
      </c>
      <c r="D187" s="59" t="s">
        <v>59</v>
      </c>
      <c r="E187" s="30" t="s">
        <v>43</v>
      </c>
      <c r="F187" s="30">
        <v>365</v>
      </c>
      <c r="G187" s="59" t="s">
        <v>928</v>
      </c>
      <c r="H187" s="59" t="s">
        <v>595</v>
      </c>
      <c r="I187" s="59" t="s">
        <v>378</v>
      </c>
      <c r="J187" t="s">
        <v>270</v>
      </c>
    </row>
    <row r="188" spans="1:10" s="86" customFormat="1" ht="18" customHeight="1" x14ac:dyDescent="0.25">
      <c r="A188" s="85">
        <v>185</v>
      </c>
      <c r="B188" s="59" t="s">
        <v>946</v>
      </c>
      <c r="C188" s="59" t="s">
        <v>967</v>
      </c>
      <c r="D188" s="59" t="s">
        <v>59</v>
      </c>
      <c r="E188" s="30" t="s">
        <v>43</v>
      </c>
      <c r="F188" s="30">
        <v>1000</v>
      </c>
      <c r="G188" s="59" t="s">
        <v>765</v>
      </c>
      <c r="H188" s="59" t="s">
        <v>627</v>
      </c>
      <c r="I188" s="59" t="s">
        <v>888</v>
      </c>
      <c r="J188" t="s">
        <v>270</v>
      </c>
    </row>
    <row r="189" spans="1:10" s="86" customFormat="1" ht="18" customHeight="1" x14ac:dyDescent="0.25">
      <c r="A189" s="85">
        <v>186</v>
      </c>
      <c r="B189" s="59" t="s">
        <v>946</v>
      </c>
      <c r="C189" s="59" t="s">
        <v>968</v>
      </c>
      <c r="D189" s="59" t="s">
        <v>59</v>
      </c>
      <c r="E189" s="30" t="s">
        <v>43</v>
      </c>
      <c r="F189" s="30">
        <v>5000</v>
      </c>
      <c r="G189" s="59" t="s">
        <v>500</v>
      </c>
      <c r="H189" s="59" t="s">
        <v>574</v>
      </c>
      <c r="I189" s="59" t="s">
        <v>891</v>
      </c>
      <c r="J189" t="s">
        <v>270</v>
      </c>
    </row>
    <row r="190" spans="1:10" s="86" customFormat="1" ht="18" customHeight="1" x14ac:dyDescent="0.25">
      <c r="A190" s="85">
        <v>187</v>
      </c>
      <c r="B190" s="59" t="s">
        <v>946</v>
      </c>
      <c r="C190" s="59" t="s">
        <v>969</v>
      </c>
      <c r="D190" s="59" t="s">
        <v>59</v>
      </c>
      <c r="E190" s="30" t="s">
        <v>43</v>
      </c>
      <c r="F190" s="30">
        <v>2000</v>
      </c>
      <c r="G190" s="59" t="s">
        <v>740</v>
      </c>
      <c r="H190" s="59" t="s">
        <v>595</v>
      </c>
      <c r="I190" s="59" t="s">
        <v>378</v>
      </c>
      <c r="J190" t="s">
        <v>270</v>
      </c>
    </row>
    <row r="191" spans="1:10" s="86" customFormat="1" ht="18" customHeight="1" x14ac:dyDescent="0.25">
      <c r="A191" s="85">
        <v>188</v>
      </c>
      <c r="B191" s="59" t="s">
        <v>946</v>
      </c>
      <c r="C191" s="59" t="s">
        <v>970</v>
      </c>
      <c r="D191" s="59" t="s">
        <v>59</v>
      </c>
      <c r="E191" s="30" t="s">
        <v>43</v>
      </c>
      <c r="F191" s="30">
        <v>729</v>
      </c>
      <c r="G191" s="59" t="s">
        <v>1045</v>
      </c>
      <c r="H191" s="59" t="s">
        <v>574</v>
      </c>
      <c r="I191" s="59" t="s">
        <v>378</v>
      </c>
      <c r="J191" t="s">
        <v>270</v>
      </c>
    </row>
    <row r="192" spans="1:10" s="86" customFormat="1" ht="18" customHeight="1" x14ac:dyDescent="0.25">
      <c r="A192" s="85">
        <v>189</v>
      </c>
      <c r="B192" s="59" t="s">
        <v>946</v>
      </c>
      <c r="C192" s="59" t="s">
        <v>971</v>
      </c>
      <c r="D192" s="59" t="s">
        <v>264</v>
      </c>
      <c r="E192" s="30" t="s">
        <v>54</v>
      </c>
      <c r="F192" s="30">
        <v>37000</v>
      </c>
      <c r="G192" s="59" t="s">
        <v>67</v>
      </c>
      <c r="H192" s="59" t="s">
        <v>54</v>
      </c>
      <c r="I192" s="59" t="s">
        <v>264</v>
      </c>
      <c r="J192" t="s">
        <v>278</v>
      </c>
    </row>
    <row r="193" spans="1:10" s="86" customFormat="1" ht="18" customHeight="1" x14ac:dyDescent="0.25">
      <c r="A193" s="85">
        <v>190</v>
      </c>
      <c r="B193" s="59" t="s">
        <v>946</v>
      </c>
      <c r="C193" s="59" t="s">
        <v>972</v>
      </c>
      <c r="D193" s="59" t="s">
        <v>605</v>
      </c>
      <c r="E193" s="30" t="s">
        <v>35</v>
      </c>
      <c r="F193" s="30">
        <v>37083</v>
      </c>
      <c r="G193" s="59" t="s">
        <v>1047</v>
      </c>
      <c r="H193" s="59" t="s">
        <v>390</v>
      </c>
      <c r="I193" s="59" t="s">
        <v>1046</v>
      </c>
      <c r="J193" t="s">
        <v>270</v>
      </c>
    </row>
    <row r="194" spans="1:10" s="86" customFormat="1" ht="18" customHeight="1" x14ac:dyDescent="0.25">
      <c r="A194" s="85">
        <v>191</v>
      </c>
      <c r="B194" s="59" t="s">
        <v>946</v>
      </c>
      <c r="C194" s="59" t="s">
        <v>973</v>
      </c>
      <c r="D194" s="59" t="s">
        <v>743</v>
      </c>
      <c r="E194" s="30" t="s">
        <v>58</v>
      </c>
      <c r="F194" s="30">
        <v>1000</v>
      </c>
      <c r="G194" s="59" t="s">
        <v>765</v>
      </c>
      <c r="H194" s="59" t="s">
        <v>1248</v>
      </c>
      <c r="I194" s="59" t="s">
        <v>1048</v>
      </c>
      <c r="J194" t="s">
        <v>270</v>
      </c>
    </row>
    <row r="195" spans="1:10" s="86" customFormat="1" ht="18" customHeight="1" x14ac:dyDescent="0.25">
      <c r="A195" s="85">
        <v>192</v>
      </c>
      <c r="B195" s="59" t="s">
        <v>946</v>
      </c>
      <c r="C195" s="59" t="s">
        <v>974</v>
      </c>
      <c r="D195" s="59" t="s">
        <v>264</v>
      </c>
      <c r="E195" s="30" t="s">
        <v>54</v>
      </c>
      <c r="F195" s="30">
        <v>1000</v>
      </c>
      <c r="G195" s="59" t="s">
        <v>576</v>
      </c>
      <c r="H195" s="59" t="s">
        <v>575</v>
      </c>
      <c r="I195" s="59" t="s">
        <v>427</v>
      </c>
      <c r="J195" t="s">
        <v>278</v>
      </c>
    </row>
    <row r="196" spans="1:10" s="86" customFormat="1" ht="18" customHeight="1" x14ac:dyDescent="0.25">
      <c r="A196" s="85">
        <v>193</v>
      </c>
      <c r="B196" s="59" t="s">
        <v>946</v>
      </c>
      <c r="C196" s="59" t="s">
        <v>975</v>
      </c>
      <c r="D196" s="59" t="s">
        <v>743</v>
      </c>
      <c r="E196" s="30" t="s">
        <v>58</v>
      </c>
      <c r="F196" s="30">
        <v>1000</v>
      </c>
      <c r="G196" s="59" t="s">
        <v>765</v>
      </c>
      <c r="H196" s="59" t="s">
        <v>575</v>
      </c>
      <c r="I196" s="59" t="s">
        <v>1048</v>
      </c>
      <c r="J196" t="s">
        <v>270</v>
      </c>
    </row>
    <row r="197" spans="1:10" s="86" customFormat="1" ht="18" customHeight="1" x14ac:dyDescent="0.25">
      <c r="A197" s="85">
        <v>194</v>
      </c>
      <c r="B197" s="59" t="s">
        <v>946</v>
      </c>
      <c r="C197" s="59" t="s">
        <v>976</v>
      </c>
      <c r="D197" s="59" t="s">
        <v>264</v>
      </c>
      <c r="E197" s="30" t="s">
        <v>54</v>
      </c>
      <c r="F197" s="30">
        <v>1000</v>
      </c>
      <c r="G197" s="59" t="s">
        <v>576</v>
      </c>
      <c r="H197" s="59" t="s">
        <v>575</v>
      </c>
      <c r="I197" s="59" t="s">
        <v>427</v>
      </c>
      <c r="J197" t="s">
        <v>278</v>
      </c>
    </row>
    <row r="198" spans="1:10" s="86" customFormat="1" ht="18" customHeight="1" x14ac:dyDescent="0.25">
      <c r="A198" s="85">
        <v>195</v>
      </c>
      <c r="B198" s="59" t="s">
        <v>946</v>
      </c>
      <c r="C198" s="59" t="s">
        <v>977</v>
      </c>
      <c r="D198" s="59" t="s">
        <v>743</v>
      </c>
      <c r="E198" s="30" t="s">
        <v>58</v>
      </c>
      <c r="F198" s="30">
        <v>1000</v>
      </c>
      <c r="G198" s="59" t="s">
        <v>1049</v>
      </c>
      <c r="H198" s="59" t="s">
        <v>575</v>
      </c>
      <c r="I198" s="59" t="s">
        <v>1048</v>
      </c>
      <c r="J198" t="s">
        <v>270</v>
      </c>
    </row>
    <row r="199" spans="1:10" s="86" customFormat="1" ht="18" customHeight="1" x14ac:dyDescent="0.25">
      <c r="A199" s="85">
        <v>196</v>
      </c>
      <c r="B199" s="59" t="s">
        <v>946</v>
      </c>
      <c r="C199" s="59" t="s">
        <v>978</v>
      </c>
      <c r="D199" s="59" t="s">
        <v>59</v>
      </c>
      <c r="E199" s="30" t="s">
        <v>43</v>
      </c>
      <c r="F199" s="30">
        <v>165</v>
      </c>
      <c r="G199" s="59" t="s">
        <v>928</v>
      </c>
      <c r="H199" s="59" t="s">
        <v>595</v>
      </c>
      <c r="I199" s="59" t="s">
        <v>378</v>
      </c>
      <c r="J199" t="s">
        <v>270</v>
      </c>
    </row>
    <row r="200" spans="1:10" s="86" customFormat="1" ht="18" customHeight="1" x14ac:dyDescent="0.25">
      <c r="A200" s="85">
        <v>197</v>
      </c>
      <c r="B200" s="59" t="s">
        <v>946</v>
      </c>
      <c r="C200" s="59" t="s">
        <v>979</v>
      </c>
      <c r="D200" s="59" t="s">
        <v>264</v>
      </c>
      <c r="E200" s="30" t="s">
        <v>54</v>
      </c>
      <c r="F200" s="30">
        <v>45000</v>
      </c>
      <c r="G200" s="59" t="s">
        <v>67</v>
      </c>
      <c r="H200" s="59" t="s">
        <v>54</v>
      </c>
      <c r="I200" s="59" t="s">
        <v>67</v>
      </c>
      <c r="J200" t="s">
        <v>278</v>
      </c>
    </row>
    <row r="201" spans="1:10" s="86" customFormat="1" ht="18" customHeight="1" x14ac:dyDescent="0.25">
      <c r="A201" s="85">
        <v>198</v>
      </c>
      <c r="B201" s="59" t="s">
        <v>946</v>
      </c>
      <c r="C201" s="59" t="s">
        <v>980</v>
      </c>
      <c r="D201" s="59" t="s">
        <v>59</v>
      </c>
      <c r="E201" s="30" t="s">
        <v>43</v>
      </c>
      <c r="F201" s="30">
        <v>187</v>
      </c>
      <c r="G201" s="59" t="s">
        <v>1051</v>
      </c>
      <c r="H201" s="59" t="s">
        <v>574</v>
      </c>
      <c r="I201" s="59" t="s">
        <v>1050</v>
      </c>
      <c r="J201" t="s">
        <v>270</v>
      </c>
    </row>
    <row r="202" spans="1:10" s="86" customFormat="1" ht="18" customHeight="1" x14ac:dyDescent="0.25">
      <c r="A202" s="85">
        <v>199</v>
      </c>
      <c r="B202" s="59" t="s">
        <v>946</v>
      </c>
      <c r="C202" s="59" t="s">
        <v>981</v>
      </c>
      <c r="D202" s="59" t="s">
        <v>45</v>
      </c>
      <c r="E202" s="30" t="s">
        <v>36</v>
      </c>
      <c r="F202" s="30">
        <v>30000</v>
      </c>
      <c r="G202" s="59" t="s">
        <v>1052</v>
      </c>
      <c r="H202" s="59" t="s">
        <v>910</v>
      </c>
      <c r="I202" s="59" t="s">
        <v>104</v>
      </c>
      <c r="J202" t="s">
        <v>270</v>
      </c>
    </row>
    <row r="203" spans="1:10" s="86" customFormat="1" ht="18" customHeight="1" x14ac:dyDescent="0.25">
      <c r="A203" s="85">
        <v>200</v>
      </c>
      <c r="B203" s="59" t="s">
        <v>946</v>
      </c>
      <c r="C203" s="59" t="s">
        <v>982</v>
      </c>
      <c r="D203" s="59" t="s">
        <v>59</v>
      </c>
      <c r="E203" s="30" t="s">
        <v>43</v>
      </c>
      <c r="F203" s="30">
        <v>3000</v>
      </c>
      <c r="G203" s="59" t="s">
        <v>740</v>
      </c>
      <c r="H203" s="59" t="s">
        <v>574</v>
      </c>
      <c r="I203" s="59" t="s">
        <v>378</v>
      </c>
      <c r="J203" t="s">
        <v>270</v>
      </c>
    </row>
    <row r="204" spans="1:10" s="86" customFormat="1" ht="18" customHeight="1" x14ac:dyDescent="0.25">
      <c r="A204" s="85">
        <v>201</v>
      </c>
      <c r="B204" s="59" t="s">
        <v>946</v>
      </c>
      <c r="C204" s="59" t="s">
        <v>983</v>
      </c>
      <c r="D204" s="59" t="s">
        <v>59</v>
      </c>
      <c r="E204" s="30" t="s">
        <v>43</v>
      </c>
      <c r="F204" s="30">
        <v>4000</v>
      </c>
      <c r="G204" s="59" t="s">
        <v>429</v>
      </c>
      <c r="H204" s="59" t="s">
        <v>595</v>
      </c>
      <c r="I204" s="59" t="s">
        <v>1053</v>
      </c>
      <c r="J204" t="s">
        <v>270</v>
      </c>
    </row>
    <row r="205" spans="1:10" s="86" customFormat="1" ht="18" customHeight="1" x14ac:dyDescent="0.25">
      <c r="A205" s="85">
        <v>202</v>
      </c>
      <c r="B205" s="59" t="s">
        <v>947</v>
      </c>
      <c r="C205" s="59" t="s">
        <v>984</v>
      </c>
      <c r="D205" s="59" t="s">
        <v>59</v>
      </c>
      <c r="E205" s="30" t="s">
        <v>43</v>
      </c>
      <c r="F205" s="30">
        <v>1000</v>
      </c>
      <c r="G205" s="59" t="s">
        <v>17</v>
      </c>
      <c r="H205" s="59" t="s">
        <v>574</v>
      </c>
      <c r="I205" s="59" t="s">
        <v>888</v>
      </c>
      <c r="J205" t="s">
        <v>270</v>
      </c>
    </row>
    <row r="206" spans="1:10" s="86" customFormat="1" ht="18" customHeight="1" x14ac:dyDescent="0.25">
      <c r="A206" s="85">
        <v>203</v>
      </c>
      <c r="B206" s="59" t="s">
        <v>947</v>
      </c>
      <c r="C206" s="59" t="s">
        <v>985</v>
      </c>
      <c r="D206" s="59" t="s">
        <v>59</v>
      </c>
      <c r="E206" s="30" t="s">
        <v>43</v>
      </c>
      <c r="F206" s="30">
        <v>130</v>
      </c>
      <c r="G206" s="59" t="s">
        <v>1054</v>
      </c>
      <c r="H206" s="59" t="s">
        <v>574</v>
      </c>
      <c r="I206" s="59" t="s">
        <v>378</v>
      </c>
      <c r="J206" t="s">
        <v>270</v>
      </c>
    </row>
    <row r="207" spans="1:10" s="86" customFormat="1" ht="18" customHeight="1" x14ac:dyDescent="0.25">
      <c r="A207" s="85">
        <v>204</v>
      </c>
      <c r="B207" s="59" t="s">
        <v>947</v>
      </c>
      <c r="C207" s="59" t="s">
        <v>986</v>
      </c>
      <c r="D207" s="59" t="s">
        <v>59</v>
      </c>
      <c r="E207" s="30" t="s">
        <v>43</v>
      </c>
      <c r="F207" s="30">
        <v>2000</v>
      </c>
      <c r="G207" s="59" t="s">
        <v>12</v>
      </c>
      <c r="H207" s="59" t="s">
        <v>574</v>
      </c>
      <c r="I207" s="59" t="s">
        <v>888</v>
      </c>
      <c r="J207" t="s">
        <v>270</v>
      </c>
    </row>
    <row r="208" spans="1:10" s="86" customFormat="1" ht="18" customHeight="1" x14ac:dyDescent="0.25">
      <c r="A208" s="85">
        <v>205</v>
      </c>
      <c r="B208" s="59" t="s">
        <v>947</v>
      </c>
      <c r="C208" s="59" t="s">
        <v>987</v>
      </c>
      <c r="D208" s="59" t="s">
        <v>59</v>
      </c>
      <c r="E208" s="30" t="s">
        <v>43</v>
      </c>
      <c r="F208" s="30">
        <v>5000</v>
      </c>
      <c r="G208" s="59" t="s">
        <v>500</v>
      </c>
      <c r="H208" s="59" t="s">
        <v>574</v>
      </c>
      <c r="I208" s="59" t="s">
        <v>891</v>
      </c>
      <c r="J208" t="s">
        <v>270</v>
      </c>
    </row>
    <row r="209" spans="1:10" s="86" customFormat="1" ht="18" customHeight="1" x14ac:dyDescent="0.25">
      <c r="A209" s="85">
        <v>206</v>
      </c>
      <c r="B209" s="59" t="s">
        <v>947</v>
      </c>
      <c r="C209" s="59" t="s">
        <v>988</v>
      </c>
      <c r="D209" s="59" t="s">
        <v>264</v>
      </c>
      <c r="E209" s="30" t="s">
        <v>54</v>
      </c>
      <c r="F209" s="30">
        <v>10000</v>
      </c>
      <c r="G209" s="59" t="s">
        <v>67</v>
      </c>
      <c r="H209" s="59" t="s">
        <v>54</v>
      </c>
      <c r="I209" s="59" t="s">
        <v>67</v>
      </c>
      <c r="J209" t="s">
        <v>278</v>
      </c>
    </row>
    <row r="210" spans="1:10" s="86" customFormat="1" ht="18" customHeight="1" x14ac:dyDescent="0.25">
      <c r="A210" s="85">
        <v>207</v>
      </c>
      <c r="B210" s="59" t="s">
        <v>947</v>
      </c>
      <c r="C210" s="59" t="s">
        <v>989</v>
      </c>
      <c r="D210" s="59" t="s">
        <v>59</v>
      </c>
      <c r="E210" s="30" t="s">
        <v>43</v>
      </c>
      <c r="F210" s="30">
        <v>1000</v>
      </c>
      <c r="G210" s="59" t="s">
        <v>1055</v>
      </c>
      <c r="H210" s="59" t="s">
        <v>574</v>
      </c>
      <c r="I210" s="59" t="s">
        <v>378</v>
      </c>
      <c r="J210" t="s">
        <v>270</v>
      </c>
    </row>
    <row r="211" spans="1:10" s="86" customFormat="1" ht="18" customHeight="1" x14ac:dyDescent="0.25">
      <c r="A211" s="85">
        <v>208</v>
      </c>
      <c r="B211" s="59" t="s">
        <v>947</v>
      </c>
      <c r="C211" s="59" t="s">
        <v>990</v>
      </c>
      <c r="D211" s="59" t="s">
        <v>59</v>
      </c>
      <c r="E211" s="30" t="s">
        <v>43</v>
      </c>
      <c r="F211" s="30">
        <v>280</v>
      </c>
      <c r="G211" s="59" t="s">
        <v>943</v>
      </c>
      <c r="H211" s="59" t="s">
        <v>424</v>
      </c>
      <c r="I211" s="59" t="s">
        <v>378</v>
      </c>
      <c r="J211" t="s">
        <v>270</v>
      </c>
    </row>
    <row r="212" spans="1:10" s="86" customFormat="1" ht="18" customHeight="1" x14ac:dyDescent="0.25">
      <c r="A212" s="85">
        <v>209</v>
      </c>
      <c r="B212" s="59" t="s">
        <v>947</v>
      </c>
      <c r="C212" s="59" t="s">
        <v>991</v>
      </c>
      <c r="D212" s="59" t="s">
        <v>59</v>
      </c>
      <c r="E212" s="30" t="s">
        <v>43</v>
      </c>
      <c r="F212" s="30">
        <v>1000</v>
      </c>
      <c r="G212" s="59" t="s">
        <v>747</v>
      </c>
      <c r="H212" s="59" t="s">
        <v>627</v>
      </c>
      <c r="I212" s="59" t="s">
        <v>891</v>
      </c>
      <c r="J212" t="s">
        <v>270</v>
      </c>
    </row>
    <row r="213" spans="1:10" s="86" customFormat="1" ht="18" customHeight="1" x14ac:dyDescent="0.25">
      <c r="A213" s="85">
        <v>210</v>
      </c>
      <c r="B213" s="59" t="s">
        <v>947</v>
      </c>
      <c r="C213" s="59" t="s">
        <v>992</v>
      </c>
      <c r="D213" s="59" t="s">
        <v>59</v>
      </c>
      <c r="E213" s="30" t="s">
        <v>43</v>
      </c>
      <c r="F213" s="30">
        <v>120</v>
      </c>
      <c r="G213" s="59" t="s">
        <v>1054</v>
      </c>
      <c r="H213" s="59" t="s">
        <v>574</v>
      </c>
      <c r="I213" s="59" t="s">
        <v>378</v>
      </c>
      <c r="J213" t="s">
        <v>270</v>
      </c>
    </row>
    <row r="214" spans="1:10" s="86" customFormat="1" ht="18" customHeight="1" x14ac:dyDescent="0.25">
      <c r="A214" s="85">
        <v>211</v>
      </c>
      <c r="B214" s="59" t="s">
        <v>947</v>
      </c>
      <c r="C214" s="59" t="s">
        <v>993</v>
      </c>
      <c r="D214" s="59" t="s">
        <v>59</v>
      </c>
      <c r="E214" s="30" t="s">
        <v>43</v>
      </c>
      <c r="F214" s="30">
        <v>50</v>
      </c>
      <c r="G214" s="59" t="s">
        <v>1054</v>
      </c>
      <c r="H214" s="59" t="s">
        <v>574</v>
      </c>
      <c r="I214" s="59" t="s">
        <v>378</v>
      </c>
      <c r="J214" t="s">
        <v>270</v>
      </c>
    </row>
    <row r="215" spans="1:10" s="86" customFormat="1" ht="18" customHeight="1" x14ac:dyDescent="0.25">
      <c r="A215" s="85">
        <v>212</v>
      </c>
      <c r="B215" s="59" t="s">
        <v>948</v>
      </c>
      <c r="C215" s="59" t="s">
        <v>994</v>
      </c>
      <c r="D215" s="59" t="s">
        <v>59</v>
      </c>
      <c r="E215" s="30" t="s">
        <v>43</v>
      </c>
      <c r="F215" s="30">
        <v>215</v>
      </c>
      <c r="G215" s="59" t="s">
        <v>1054</v>
      </c>
      <c r="H215" s="59" t="s">
        <v>574</v>
      </c>
      <c r="I215" s="59" t="s">
        <v>546</v>
      </c>
      <c r="J215" t="s">
        <v>270</v>
      </c>
    </row>
    <row r="216" spans="1:10" s="86" customFormat="1" ht="18" customHeight="1" x14ac:dyDescent="0.25">
      <c r="A216" s="85">
        <v>213</v>
      </c>
      <c r="B216" s="59" t="s">
        <v>948</v>
      </c>
      <c r="C216" s="59" t="s">
        <v>995</v>
      </c>
      <c r="D216" s="59" t="s">
        <v>59</v>
      </c>
      <c r="E216" s="30" t="s">
        <v>43</v>
      </c>
      <c r="F216" s="30">
        <v>1500</v>
      </c>
      <c r="G216" s="59" t="s">
        <v>17</v>
      </c>
      <c r="H216" s="59" t="s">
        <v>574</v>
      </c>
      <c r="I216" s="59" t="s">
        <v>888</v>
      </c>
      <c r="J216" t="s">
        <v>270</v>
      </c>
    </row>
    <row r="217" spans="1:10" s="86" customFormat="1" ht="18" customHeight="1" x14ac:dyDescent="0.25">
      <c r="A217" s="85">
        <v>214</v>
      </c>
      <c r="B217" s="59" t="s">
        <v>948</v>
      </c>
      <c r="C217" s="59" t="s">
        <v>996</v>
      </c>
      <c r="D217" s="59" t="s">
        <v>59</v>
      </c>
      <c r="E217" s="30" t="s">
        <v>43</v>
      </c>
      <c r="F217" s="30">
        <v>1000</v>
      </c>
      <c r="G217" s="59" t="s">
        <v>12</v>
      </c>
      <c r="H217" s="59" t="s">
        <v>574</v>
      </c>
      <c r="I217" s="59" t="s">
        <v>546</v>
      </c>
      <c r="J217" t="s">
        <v>270</v>
      </c>
    </row>
    <row r="218" spans="1:10" s="86" customFormat="1" ht="18" customHeight="1" x14ac:dyDescent="0.25">
      <c r="A218" s="85">
        <v>215</v>
      </c>
      <c r="B218" s="59" t="s">
        <v>948</v>
      </c>
      <c r="C218" s="59" t="s">
        <v>997</v>
      </c>
      <c r="D218" s="59" t="s">
        <v>59</v>
      </c>
      <c r="E218" s="30" t="s">
        <v>43</v>
      </c>
      <c r="F218" s="30">
        <v>500</v>
      </c>
      <c r="G218" s="59" t="s">
        <v>17</v>
      </c>
      <c r="H218" s="59" t="s">
        <v>574</v>
      </c>
      <c r="I218" s="59" t="s">
        <v>888</v>
      </c>
      <c r="J218" t="s">
        <v>270</v>
      </c>
    </row>
    <row r="219" spans="1:10" s="86" customFormat="1" ht="18" customHeight="1" x14ac:dyDescent="0.25">
      <c r="A219" s="85">
        <v>216</v>
      </c>
      <c r="B219" s="59" t="s">
        <v>948</v>
      </c>
      <c r="C219" s="59" t="s">
        <v>998</v>
      </c>
      <c r="D219" s="59" t="s">
        <v>59</v>
      </c>
      <c r="E219" s="30" t="s">
        <v>43</v>
      </c>
      <c r="F219" s="30">
        <v>500</v>
      </c>
      <c r="G219" s="59" t="s">
        <v>1056</v>
      </c>
      <c r="H219" s="59" t="s">
        <v>627</v>
      </c>
      <c r="I219" s="59" t="s">
        <v>378</v>
      </c>
      <c r="J219" t="s">
        <v>270</v>
      </c>
    </row>
    <row r="220" spans="1:10" s="86" customFormat="1" ht="18" customHeight="1" x14ac:dyDescent="0.25">
      <c r="A220" s="85">
        <v>217</v>
      </c>
      <c r="B220" s="59" t="s">
        <v>948</v>
      </c>
      <c r="C220" s="59" t="s">
        <v>999</v>
      </c>
      <c r="D220" s="59" t="s">
        <v>59</v>
      </c>
      <c r="E220" s="30" t="s">
        <v>43</v>
      </c>
      <c r="F220" s="30">
        <v>3000</v>
      </c>
      <c r="G220" s="59" t="s">
        <v>500</v>
      </c>
      <c r="H220" s="59" t="s">
        <v>574</v>
      </c>
      <c r="I220" s="59" t="s">
        <v>891</v>
      </c>
      <c r="J220" t="s">
        <v>270</v>
      </c>
    </row>
    <row r="221" spans="1:10" s="86" customFormat="1" ht="18" customHeight="1" x14ac:dyDescent="0.25">
      <c r="A221" s="85">
        <v>218</v>
      </c>
      <c r="B221" s="59" t="s">
        <v>948</v>
      </c>
      <c r="C221" s="59" t="s">
        <v>1000</v>
      </c>
      <c r="D221" s="59" t="s">
        <v>59</v>
      </c>
      <c r="E221" s="30" t="s">
        <v>43</v>
      </c>
      <c r="F221" s="30">
        <v>125</v>
      </c>
      <c r="G221" s="59" t="s">
        <v>1054</v>
      </c>
      <c r="H221" s="59" t="s">
        <v>574</v>
      </c>
      <c r="I221" s="59" t="s">
        <v>546</v>
      </c>
      <c r="J221" t="s">
        <v>270</v>
      </c>
    </row>
    <row r="222" spans="1:10" s="86" customFormat="1" ht="18" customHeight="1" x14ac:dyDescent="0.25">
      <c r="A222" s="85">
        <v>219</v>
      </c>
      <c r="B222" s="59" t="s">
        <v>948</v>
      </c>
      <c r="C222" s="59" t="s">
        <v>1001</v>
      </c>
      <c r="D222" s="59" t="s">
        <v>264</v>
      </c>
      <c r="E222" s="30" t="s">
        <v>54</v>
      </c>
      <c r="F222" s="30">
        <v>20000</v>
      </c>
      <c r="G222" s="59" t="s">
        <v>67</v>
      </c>
      <c r="H222" s="59" t="s">
        <v>54</v>
      </c>
      <c r="I222" s="59" t="s">
        <v>264</v>
      </c>
      <c r="J222" t="s">
        <v>278</v>
      </c>
    </row>
    <row r="223" spans="1:10" s="86" customFormat="1" ht="18" customHeight="1" x14ac:dyDescent="0.25">
      <c r="A223" s="85">
        <v>220</v>
      </c>
      <c r="B223" s="59" t="s">
        <v>948</v>
      </c>
      <c r="C223" s="59" t="s">
        <v>1002</v>
      </c>
      <c r="D223" s="59" t="s">
        <v>59</v>
      </c>
      <c r="E223" s="30" t="s">
        <v>43</v>
      </c>
      <c r="F223" s="30">
        <v>2820</v>
      </c>
      <c r="G223" s="59" t="s">
        <v>1057</v>
      </c>
      <c r="H223" s="59" t="s">
        <v>574</v>
      </c>
      <c r="I223" s="59" t="s">
        <v>587</v>
      </c>
      <c r="J223" t="s">
        <v>270</v>
      </c>
    </row>
    <row r="224" spans="1:10" s="86" customFormat="1" ht="18" customHeight="1" x14ac:dyDescent="0.25">
      <c r="A224" s="85">
        <v>221</v>
      </c>
      <c r="B224" s="59" t="s">
        <v>948</v>
      </c>
      <c r="C224" s="59" t="s">
        <v>1003</v>
      </c>
      <c r="D224" s="59" t="s">
        <v>411</v>
      </c>
      <c r="E224" s="30" t="s">
        <v>41</v>
      </c>
      <c r="F224" s="30">
        <v>150</v>
      </c>
      <c r="G224" s="59" t="s">
        <v>576</v>
      </c>
      <c r="H224" s="59" t="s">
        <v>575</v>
      </c>
      <c r="I224" s="59" t="s">
        <v>417</v>
      </c>
      <c r="J224" t="s">
        <v>270</v>
      </c>
    </row>
    <row r="225" spans="1:10" s="86" customFormat="1" ht="18" customHeight="1" x14ac:dyDescent="0.25">
      <c r="A225" s="85">
        <v>222</v>
      </c>
      <c r="B225" s="59" t="s">
        <v>948</v>
      </c>
      <c r="C225" s="59" t="s">
        <v>1004</v>
      </c>
      <c r="D225" s="59" t="s">
        <v>59</v>
      </c>
      <c r="E225" s="30" t="s">
        <v>43</v>
      </c>
      <c r="F225" s="30">
        <v>1000</v>
      </c>
      <c r="G225" s="59" t="s">
        <v>747</v>
      </c>
      <c r="H225" s="59" t="s">
        <v>627</v>
      </c>
      <c r="I225" s="59" t="s">
        <v>891</v>
      </c>
      <c r="J225" t="s">
        <v>270</v>
      </c>
    </row>
    <row r="226" spans="1:10" s="86" customFormat="1" ht="18" customHeight="1" x14ac:dyDescent="0.25">
      <c r="A226" s="85">
        <v>223</v>
      </c>
      <c r="B226" s="59" t="s">
        <v>948</v>
      </c>
      <c r="C226" s="59" t="s">
        <v>1005</v>
      </c>
      <c r="D226" s="59" t="s">
        <v>59</v>
      </c>
      <c r="E226" s="30" t="s">
        <v>43</v>
      </c>
      <c r="F226" s="30">
        <v>2750</v>
      </c>
      <c r="G226" s="59" t="s">
        <v>1058</v>
      </c>
      <c r="H226" s="59" t="s">
        <v>574</v>
      </c>
      <c r="I226" s="59" t="s">
        <v>486</v>
      </c>
      <c r="J226" t="s">
        <v>270</v>
      </c>
    </row>
    <row r="227" spans="1:10" s="86" customFormat="1" ht="18" customHeight="1" x14ac:dyDescent="0.25">
      <c r="A227" s="85">
        <v>224</v>
      </c>
      <c r="B227" s="59" t="s">
        <v>948</v>
      </c>
      <c r="C227" s="59" t="s">
        <v>1006</v>
      </c>
      <c r="D227" s="59" t="s">
        <v>716</v>
      </c>
      <c r="E227" s="30" t="s">
        <v>220</v>
      </c>
      <c r="F227" s="30">
        <v>3800</v>
      </c>
      <c r="G227" s="59" t="s">
        <v>1059</v>
      </c>
      <c r="H227" s="59" t="s">
        <v>627</v>
      </c>
      <c r="I227" s="59" t="s">
        <v>715</v>
      </c>
      <c r="J227" t="s">
        <v>270</v>
      </c>
    </row>
    <row r="228" spans="1:10" s="86" customFormat="1" ht="18" customHeight="1" x14ac:dyDescent="0.25">
      <c r="A228" s="85">
        <v>225</v>
      </c>
      <c r="B228" s="59" t="s">
        <v>948</v>
      </c>
      <c r="C228" s="59" t="s">
        <v>1007</v>
      </c>
      <c r="D228" s="59" t="s">
        <v>59</v>
      </c>
      <c r="E228" s="30" t="s">
        <v>43</v>
      </c>
      <c r="F228" s="30">
        <v>4000</v>
      </c>
      <c r="G228" s="59" t="s">
        <v>500</v>
      </c>
      <c r="H228" s="59" t="s">
        <v>574</v>
      </c>
      <c r="I228" s="59" t="s">
        <v>891</v>
      </c>
      <c r="J228" t="s">
        <v>270</v>
      </c>
    </row>
    <row r="229" spans="1:10" s="86" customFormat="1" ht="18" customHeight="1" x14ac:dyDescent="0.25">
      <c r="A229" s="85">
        <v>226</v>
      </c>
      <c r="B229" s="59" t="s">
        <v>948</v>
      </c>
      <c r="C229" s="59" t="s">
        <v>1008</v>
      </c>
      <c r="D229" s="59" t="s">
        <v>59</v>
      </c>
      <c r="E229" s="30" t="s">
        <v>43</v>
      </c>
      <c r="F229" s="30">
        <v>150</v>
      </c>
      <c r="G229" s="59" t="s">
        <v>1054</v>
      </c>
      <c r="H229" s="59" t="s">
        <v>574</v>
      </c>
      <c r="I229" s="59" t="s">
        <v>378</v>
      </c>
      <c r="J229" t="s">
        <v>270</v>
      </c>
    </row>
    <row r="230" spans="1:10" s="86" customFormat="1" ht="18" customHeight="1" x14ac:dyDescent="0.25">
      <c r="A230" s="85">
        <v>227</v>
      </c>
      <c r="B230" s="59" t="s">
        <v>949</v>
      </c>
      <c r="C230" s="59" t="s">
        <v>1009</v>
      </c>
      <c r="D230" s="59" t="s">
        <v>59</v>
      </c>
      <c r="E230" s="30" t="s">
        <v>43</v>
      </c>
      <c r="F230" s="30">
        <v>2500</v>
      </c>
      <c r="G230" s="59" t="s">
        <v>740</v>
      </c>
      <c r="H230" s="59" t="s">
        <v>574</v>
      </c>
      <c r="I230" s="59" t="s">
        <v>378</v>
      </c>
      <c r="J230" t="s">
        <v>270</v>
      </c>
    </row>
    <row r="231" spans="1:10" s="86" customFormat="1" ht="18" customHeight="1" x14ac:dyDescent="0.25">
      <c r="A231" s="85">
        <v>228</v>
      </c>
      <c r="B231" s="59" t="s">
        <v>949</v>
      </c>
      <c r="C231" s="59" t="s">
        <v>1010</v>
      </c>
      <c r="D231" s="59" t="s">
        <v>59</v>
      </c>
      <c r="E231" s="30" t="s">
        <v>43</v>
      </c>
      <c r="F231" s="30">
        <v>130</v>
      </c>
      <c r="G231" s="59" t="s">
        <v>1054</v>
      </c>
      <c r="H231" s="59" t="s">
        <v>574</v>
      </c>
      <c r="I231" s="59" t="s">
        <v>378</v>
      </c>
      <c r="J231" t="s">
        <v>270</v>
      </c>
    </row>
    <row r="232" spans="1:10" s="86" customFormat="1" ht="18" customHeight="1" x14ac:dyDescent="0.25">
      <c r="A232" s="85">
        <v>229</v>
      </c>
      <c r="B232" s="59" t="s">
        <v>949</v>
      </c>
      <c r="C232" s="59" t="s">
        <v>1011</v>
      </c>
      <c r="D232" s="59" t="s">
        <v>59</v>
      </c>
      <c r="E232" s="30" t="s">
        <v>43</v>
      </c>
      <c r="F232" s="30">
        <v>1000</v>
      </c>
      <c r="G232" s="59" t="s">
        <v>1060</v>
      </c>
      <c r="H232" s="59" t="s">
        <v>574</v>
      </c>
      <c r="I232" s="59" t="s">
        <v>888</v>
      </c>
      <c r="J232" t="s">
        <v>270</v>
      </c>
    </row>
    <row r="233" spans="1:10" s="86" customFormat="1" ht="18" customHeight="1" x14ac:dyDescent="0.25">
      <c r="A233" s="85">
        <v>230</v>
      </c>
      <c r="B233" s="59" t="s">
        <v>949</v>
      </c>
      <c r="C233" s="59" t="s">
        <v>1012</v>
      </c>
      <c r="D233" s="59" t="s">
        <v>716</v>
      </c>
      <c r="E233" s="30" t="s">
        <v>220</v>
      </c>
      <c r="F233" s="30">
        <v>1700.95</v>
      </c>
      <c r="G233" s="59" t="s">
        <v>159</v>
      </c>
      <c r="H233" s="59" t="s">
        <v>574</v>
      </c>
      <c r="I233" s="59" t="s">
        <v>422</v>
      </c>
      <c r="J233" t="s">
        <v>270</v>
      </c>
    </row>
    <row r="234" spans="1:10" s="86" customFormat="1" ht="18" customHeight="1" x14ac:dyDescent="0.25">
      <c r="A234" s="85">
        <v>231</v>
      </c>
      <c r="B234" s="59" t="s">
        <v>949</v>
      </c>
      <c r="C234" s="59" t="s">
        <v>1013</v>
      </c>
      <c r="D234" s="59" t="s">
        <v>264</v>
      </c>
      <c r="E234" s="30" t="s">
        <v>54</v>
      </c>
      <c r="F234" s="30">
        <v>15000</v>
      </c>
      <c r="G234" s="59" t="s">
        <v>67</v>
      </c>
      <c r="H234" s="59" t="s">
        <v>54</v>
      </c>
      <c r="I234" s="59" t="s">
        <v>264</v>
      </c>
      <c r="J234" t="s">
        <v>278</v>
      </c>
    </row>
    <row r="235" spans="1:10" s="86" customFormat="1" ht="18" customHeight="1" x14ac:dyDescent="0.25">
      <c r="A235" s="85">
        <v>232</v>
      </c>
      <c r="B235" s="59" t="s">
        <v>949</v>
      </c>
      <c r="C235" s="59" t="s">
        <v>1014</v>
      </c>
      <c r="D235" s="59" t="s">
        <v>59</v>
      </c>
      <c r="E235" s="30" t="s">
        <v>43</v>
      </c>
      <c r="F235" s="30">
        <v>3500</v>
      </c>
      <c r="G235" s="59" t="s">
        <v>1041</v>
      </c>
      <c r="H235" s="59" t="s">
        <v>921</v>
      </c>
      <c r="I235" s="59" t="s">
        <v>29</v>
      </c>
      <c r="J235" t="s">
        <v>270</v>
      </c>
    </row>
    <row r="236" spans="1:10" s="86" customFormat="1" ht="18" customHeight="1" x14ac:dyDescent="0.25">
      <c r="A236" s="85">
        <v>233</v>
      </c>
      <c r="B236" s="59" t="s">
        <v>949</v>
      </c>
      <c r="C236" s="59" t="s">
        <v>1015</v>
      </c>
      <c r="D236" s="59" t="s">
        <v>59</v>
      </c>
      <c r="E236" s="30" t="s">
        <v>43</v>
      </c>
      <c r="F236" s="30">
        <v>10000</v>
      </c>
      <c r="G236" s="59" t="s">
        <v>500</v>
      </c>
      <c r="H236" s="59" t="s">
        <v>115</v>
      </c>
      <c r="I236" s="59" t="s">
        <v>546</v>
      </c>
      <c r="J236" t="s">
        <v>270</v>
      </c>
    </row>
    <row r="237" spans="1:10" s="86" customFormat="1" ht="18" customHeight="1" x14ac:dyDescent="0.25">
      <c r="A237" s="85">
        <v>234</v>
      </c>
      <c r="B237" s="59" t="s">
        <v>949</v>
      </c>
      <c r="C237" s="59" t="s">
        <v>1016</v>
      </c>
      <c r="D237" s="59" t="s">
        <v>59</v>
      </c>
      <c r="E237" s="30" t="s">
        <v>43</v>
      </c>
      <c r="F237" s="30">
        <v>2000</v>
      </c>
      <c r="G237" s="59" t="s">
        <v>12</v>
      </c>
      <c r="H237" s="59" t="s">
        <v>574</v>
      </c>
      <c r="I237" s="59" t="s">
        <v>546</v>
      </c>
      <c r="J237" t="s">
        <v>270</v>
      </c>
    </row>
    <row r="238" spans="1:10" s="86" customFormat="1" ht="18" customHeight="1" x14ac:dyDescent="0.25">
      <c r="A238" s="85">
        <v>235</v>
      </c>
      <c r="B238" s="59" t="s">
        <v>949</v>
      </c>
      <c r="C238" s="59" t="s">
        <v>1017</v>
      </c>
      <c r="D238" s="59" t="s">
        <v>264</v>
      </c>
      <c r="E238" s="30" t="s">
        <v>54</v>
      </c>
      <c r="F238" s="30">
        <v>10000</v>
      </c>
      <c r="G238" s="59" t="s">
        <v>67</v>
      </c>
      <c r="H238" s="59" t="s">
        <v>54</v>
      </c>
      <c r="I238" s="59" t="s">
        <v>264</v>
      </c>
      <c r="J238" t="s">
        <v>278</v>
      </c>
    </row>
    <row r="239" spans="1:10" s="86" customFormat="1" ht="18" customHeight="1" x14ac:dyDescent="0.25">
      <c r="A239" s="85">
        <v>236</v>
      </c>
      <c r="B239" s="59" t="s">
        <v>949</v>
      </c>
      <c r="C239" s="59" t="s">
        <v>1018</v>
      </c>
      <c r="D239" s="59" t="s">
        <v>59</v>
      </c>
      <c r="E239" s="30" t="s">
        <v>43</v>
      </c>
      <c r="F239" s="30">
        <v>145</v>
      </c>
      <c r="G239" s="59" t="s">
        <v>1054</v>
      </c>
      <c r="H239" s="59" t="s">
        <v>574</v>
      </c>
      <c r="I239" s="59" t="s">
        <v>378</v>
      </c>
      <c r="J239" t="s">
        <v>270</v>
      </c>
    </row>
    <row r="240" spans="1:10" s="86" customFormat="1" ht="18" customHeight="1" x14ac:dyDescent="0.25">
      <c r="A240" s="85">
        <v>237</v>
      </c>
      <c r="B240" s="59" t="s">
        <v>950</v>
      </c>
      <c r="C240" s="59" t="s">
        <v>1019</v>
      </c>
      <c r="D240" s="59" t="s">
        <v>59</v>
      </c>
      <c r="E240" s="30" t="s">
        <v>43</v>
      </c>
      <c r="F240" s="30">
        <v>130</v>
      </c>
      <c r="G240" s="59" t="s">
        <v>1054</v>
      </c>
      <c r="H240" s="59" t="s">
        <v>574</v>
      </c>
      <c r="I240" s="59" t="s">
        <v>378</v>
      </c>
      <c r="J240" t="s">
        <v>270</v>
      </c>
    </row>
    <row r="241" spans="1:10" s="86" customFormat="1" ht="18" customHeight="1" x14ac:dyDescent="0.25">
      <c r="A241" s="85">
        <v>238</v>
      </c>
      <c r="B241" s="59" t="s">
        <v>950</v>
      </c>
      <c r="C241" s="59" t="s">
        <v>1020</v>
      </c>
      <c r="D241" s="59" t="s">
        <v>59</v>
      </c>
      <c r="E241" s="30" t="s">
        <v>43</v>
      </c>
      <c r="F241" s="30">
        <v>105</v>
      </c>
      <c r="G241" s="59" t="s">
        <v>1054</v>
      </c>
      <c r="H241" s="59" t="s">
        <v>574</v>
      </c>
      <c r="I241" s="59" t="s">
        <v>378</v>
      </c>
      <c r="J241" t="s">
        <v>270</v>
      </c>
    </row>
    <row r="242" spans="1:10" s="86" customFormat="1" ht="18" customHeight="1" x14ac:dyDescent="0.25">
      <c r="A242" s="85">
        <v>239</v>
      </c>
      <c r="B242" s="59" t="s">
        <v>950</v>
      </c>
      <c r="C242" s="59" t="s">
        <v>1021</v>
      </c>
      <c r="D242" s="59" t="s">
        <v>59</v>
      </c>
      <c r="E242" s="30" t="s">
        <v>43</v>
      </c>
      <c r="F242" s="30">
        <v>1300</v>
      </c>
      <c r="G242" s="59" t="s">
        <v>12</v>
      </c>
      <c r="H242" s="59" t="s">
        <v>574</v>
      </c>
      <c r="I242" s="59" t="s">
        <v>546</v>
      </c>
      <c r="J242" t="s">
        <v>270</v>
      </c>
    </row>
    <row r="243" spans="1:10" s="86" customFormat="1" ht="18" customHeight="1" x14ac:dyDescent="0.25">
      <c r="A243" s="85">
        <v>240</v>
      </c>
      <c r="B243" s="59" t="s">
        <v>950</v>
      </c>
      <c r="C243" s="59" t="s">
        <v>1022</v>
      </c>
      <c r="D243" s="59" t="s">
        <v>59</v>
      </c>
      <c r="E243" s="30" t="s">
        <v>43</v>
      </c>
      <c r="F243" s="30">
        <v>1002.95</v>
      </c>
      <c r="G243" s="59"/>
      <c r="H243" s="59" t="s">
        <v>574</v>
      </c>
      <c r="I243" s="59" t="s">
        <v>546</v>
      </c>
      <c r="J243" t="s">
        <v>270</v>
      </c>
    </row>
    <row r="244" spans="1:10" s="86" customFormat="1" ht="18" customHeight="1" x14ac:dyDescent="0.25">
      <c r="A244" s="85">
        <v>241</v>
      </c>
      <c r="B244" s="59" t="s">
        <v>950</v>
      </c>
      <c r="C244" s="59" t="s">
        <v>1023</v>
      </c>
      <c r="D244" s="59" t="s">
        <v>1064</v>
      </c>
      <c r="E244" s="30" t="s">
        <v>220</v>
      </c>
      <c r="F244" s="30">
        <v>2200</v>
      </c>
      <c r="G244" s="59" t="s">
        <v>65</v>
      </c>
      <c r="H244" s="59" t="s">
        <v>574</v>
      </c>
      <c r="I244" s="59" t="s">
        <v>1065</v>
      </c>
      <c r="J244" t="s">
        <v>270</v>
      </c>
    </row>
    <row r="245" spans="1:10" s="86" customFormat="1" ht="18" customHeight="1" x14ac:dyDescent="0.25">
      <c r="A245" s="85">
        <v>242</v>
      </c>
      <c r="B245" s="59" t="s">
        <v>950</v>
      </c>
      <c r="C245" s="59" t="s">
        <v>1024</v>
      </c>
      <c r="D245" s="59" t="s">
        <v>59</v>
      </c>
      <c r="E245" s="30" t="s">
        <v>43</v>
      </c>
      <c r="F245" s="30">
        <v>210</v>
      </c>
      <c r="G245" s="59" t="s">
        <v>1054</v>
      </c>
      <c r="H245" s="59" t="s">
        <v>574</v>
      </c>
      <c r="I245" s="59" t="s">
        <v>378</v>
      </c>
      <c r="J245" t="s">
        <v>270</v>
      </c>
    </row>
    <row r="246" spans="1:10" s="86" customFormat="1" ht="18" customHeight="1" x14ac:dyDescent="0.25">
      <c r="A246" s="85">
        <v>243</v>
      </c>
      <c r="B246" s="59" t="s">
        <v>951</v>
      </c>
      <c r="C246" s="59" t="s">
        <v>1025</v>
      </c>
      <c r="D246" s="59" t="s">
        <v>59</v>
      </c>
      <c r="E246" s="30" t="s">
        <v>43</v>
      </c>
      <c r="F246" s="30">
        <v>90</v>
      </c>
      <c r="G246" s="59" t="s">
        <v>1066</v>
      </c>
      <c r="H246" s="59" t="s">
        <v>574</v>
      </c>
      <c r="I246" s="59" t="s">
        <v>378</v>
      </c>
      <c r="J246" t="s">
        <v>270</v>
      </c>
    </row>
    <row r="247" spans="1:10" s="86" customFormat="1" ht="18" customHeight="1" x14ac:dyDescent="0.25">
      <c r="A247" s="85">
        <v>244</v>
      </c>
      <c r="B247" s="59" t="s">
        <v>951</v>
      </c>
      <c r="C247" s="59" t="s">
        <v>1026</v>
      </c>
      <c r="D247" s="59" t="s">
        <v>59</v>
      </c>
      <c r="E247" s="30" t="s">
        <v>43</v>
      </c>
      <c r="F247" s="30">
        <v>1000</v>
      </c>
      <c r="G247" s="59" t="s">
        <v>12</v>
      </c>
      <c r="H247" s="59" t="s">
        <v>574</v>
      </c>
      <c r="I247" s="59" t="s">
        <v>546</v>
      </c>
      <c r="J247" t="s">
        <v>270</v>
      </c>
    </row>
    <row r="248" spans="1:10" s="86" customFormat="1" ht="18" customHeight="1" x14ac:dyDescent="0.25">
      <c r="A248" s="85">
        <v>245</v>
      </c>
      <c r="B248" s="59" t="s">
        <v>951</v>
      </c>
      <c r="C248" s="59" t="s">
        <v>1027</v>
      </c>
      <c r="D248" s="59" t="s">
        <v>264</v>
      </c>
      <c r="E248" s="30" t="s">
        <v>54</v>
      </c>
      <c r="F248" s="30">
        <v>125000</v>
      </c>
      <c r="G248" s="59" t="s">
        <v>67</v>
      </c>
      <c r="H248" s="59" t="s">
        <v>54</v>
      </c>
      <c r="I248" s="59" t="s">
        <v>264</v>
      </c>
      <c r="J248" t="s">
        <v>278</v>
      </c>
    </row>
    <row r="249" spans="1:10" s="86" customFormat="1" ht="18" customHeight="1" x14ac:dyDescent="0.25">
      <c r="A249" s="85">
        <v>246</v>
      </c>
      <c r="B249" s="59" t="s">
        <v>951</v>
      </c>
      <c r="C249" s="59" t="s">
        <v>1028</v>
      </c>
      <c r="D249" s="59" t="s">
        <v>59</v>
      </c>
      <c r="E249" s="30" t="s">
        <v>43</v>
      </c>
      <c r="F249" s="30">
        <v>15000</v>
      </c>
      <c r="G249" s="59" t="s">
        <v>722</v>
      </c>
      <c r="H249" s="59" t="s">
        <v>424</v>
      </c>
      <c r="I249" s="59" t="s">
        <v>721</v>
      </c>
      <c r="J249" t="s">
        <v>270</v>
      </c>
    </row>
    <row r="250" spans="1:10" s="86" customFormat="1" ht="18" customHeight="1" x14ac:dyDescent="0.25">
      <c r="A250" s="85">
        <v>247</v>
      </c>
      <c r="B250" s="59" t="s">
        <v>951</v>
      </c>
      <c r="C250" s="59" t="s">
        <v>1029</v>
      </c>
      <c r="D250" s="59" t="s">
        <v>716</v>
      </c>
      <c r="E250" s="30" t="s">
        <v>220</v>
      </c>
      <c r="F250" s="30">
        <v>6000</v>
      </c>
      <c r="G250" s="59" t="s">
        <v>1074</v>
      </c>
      <c r="H250" s="59" t="s">
        <v>627</v>
      </c>
      <c r="I250" s="59" t="s">
        <v>1073</v>
      </c>
      <c r="J250" t="s">
        <v>270</v>
      </c>
    </row>
    <row r="251" spans="1:10" s="86" customFormat="1" ht="18" customHeight="1" x14ac:dyDescent="0.25">
      <c r="A251" s="85">
        <v>248</v>
      </c>
      <c r="B251" s="59" t="s">
        <v>951</v>
      </c>
      <c r="C251" s="59" t="s">
        <v>1030</v>
      </c>
      <c r="D251" s="59" t="s">
        <v>411</v>
      </c>
      <c r="E251" s="30" t="s">
        <v>41</v>
      </c>
      <c r="F251" s="30">
        <v>6360</v>
      </c>
      <c r="G251" s="59" t="s">
        <v>1067</v>
      </c>
      <c r="H251" s="59" t="s">
        <v>575</v>
      </c>
      <c r="I251" s="59" t="s">
        <v>586</v>
      </c>
      <c r="J251" t="s">
        <v>270</v>
      </c>
    </row>
    <row r="252" spans="1:10" s="86" customFormat="1" ht="18" customHeight="1" x14ac:dyDescent="0.25">
      <c r="A252" s="85">
        <v>249</v>
      </c>
      <c r="B252" s="59" t="s">
        <v>951</v>
      </c>
      <c r="C252" s="59" t="s">
        <v>1031</v>
      </c>
      <c r="D252" s="59" t="s">
        <v>411</v>
      </c>
      <c r="E252" s="30" t="s">
        <v>41</v>
      </c>
      <c r="F252" s="30">
        <v>200</v>
      </c>
      <c r="G252" s="59" t="s">
        <v>576</v>
      </c>
      <c r="H252" s="59" t="s">
        <v>575</v>
      </c>
      <c r="I252" s="59" t="s">
        <v>417</v>
      </c>
      <c r="J252" t="s">
        <v>270</v>
      </c>
    </row>
    <row r="253" spans="1:10" s="86" customFormat="1" ht="18" customHeight="1" x14ac:dyDescent="0.25">
      <c r="A253" s="85">
        <v>250</v>
      </c>
      <c r="B253" s="59" t="s">
        <v>951</v>
      </c>
      <c r="C253" s="59" t="s">
        <v>1032</v>
      </c>
      <c r="D253" s="59" t="s">
        <v>605</v>
      </c>
      <c r="E253" s="30" t="s">
        <v>35</v>
      </c>
      <c r="F253" s="30">
        <v>31643</v>
      </c>
      <c r="G253" s="59" t="s">
        <v>1068</v>
      </c>
      <c r="H253" s="59" t="s">
        <v>574</v>
      </c>
      <c r="I253" s="59" t="s">
        <v>587</v>
      </c>
      <c r="J253" t="s">
        <v>270</v>
      </c>
    </row>
    <row r="254" spans="1:10" s="86" customFormat="1" ht="18" customHeight="1" x14ac:dyDescent="0.25">
      <c r="A254" s="85">
        <v>251</v>
      </c>
      <c r="B254" s="59" t="s">
        <v>951</v>
      </c>
      <c r="C254" s="59" t="s">
        <v>1033</v>
      </c>
      <c r="D254" s="59" t="s">
        <v>716</v>
      </c>
      <c r="E254" s="30" t="s">
        <v>220</v>
      </c>
      <c r="F254" s="30">
        <v>18000</v>
      </c>
      <c r="G254" s="59" t="s">
        <v>1069</v>
      </c>
      <c r="H254" s="59" t="s">
        <v>574</v>
      </c>
      <c r="I254" s="59" t="s">
        <v>599</v>
      </c>
      <c r="J254" t="s">
        <v>270</v>
      </c>
    </row>
    <row r="255" spans="1:10" s="86" customFormat="1" ht="18" customHeight="1" x14ac:dyDescent="0.25">
      <c r="A255" s="85">
        <v>252</v>
      </c>
      <c r="B255" s="59" t="s">
        <v>951</v>
      </c>
      <c r="C255" s="59" t="s">
        <v>1034</v>
      </c>
      <c r="D255" s="59" t="s">
        <v>716</v>
      </c>
      <c r="E255" s="30" t="s">
        <v>220</v>
      </c>
      <c r="F255" s="30">
        <v>9950</v>
      </c>
      <c r="G255" s="59" t="s">
        <v>600</v>
      </c>
      <c r="H255" s="59" t="s">
        <v>627</v>
      </c>
      <c r="I255" s="59" t="s">
        <v>81</v>
      </c>
      <c r="J255" t="s">
        <v>270</v>
      </c>
    </row>
    <row r="256" spans="1:10" s="86" customFormat="1" ht="18" customHeight="1" x14ac:dyDescent="0.25">
      <c r="A256" s="85">
        <v>253</v>
      </c>
      <c r="B256" s="59" t="s">
        <v>951</v>
      </c>
      <c r="C256" s="59" t="s">
        <v>1035</v>
      </c>
      <c r="D256" s="59" t="s">
        <v>716</v>
      </c>
      <c r="E256" s="30" t="s">
        <v>220</v>
      </c>
      <c r="F256" s="30">
        <v>4150</v>
      </c>
      <c r="G256" s="59" t="s">
        <v>103</v>
      </c>
      <c r="H256" s="59" t="s">
        <v>390</v>
      </c>
      <c r="I256" s="59" t="s">
        <v>715</v>
      </c>
      <c r="J256" t="s">
        <v>270</v>
      </c>
    </row>
    <row r="257" spans="1:10" s="86" customFormat="1" ht="18" customHeight="1" x14ac:dyDescent="0.25">
      <c r="A257" s="85">
        <v>254</v>
      </c>
      <c r="B257" s="59" t="s">
        <v>951</v>
      </c>
      <c r="C257" s="59" t="s">
        <v>1036</v>
      </c>
      <c r="D257" s="59" t="s">
        <v>59</v>
      </c>
      <c r="E257" s="30" t="s">
        <v>43</v>
      </c>
      <c r="F257" s="30">
        <v>2050</v>
      </c>
      <c r="G257" s="59" t="s">
        <v>597</v>
      </c>
      <c r="H257" s="59" t="s">
        <v>627</v>
      </c>
      <c r="I257" s="59" t="s">
        <v>586</v>
      </c>
      <c r="J257" t="s">
        <v>270</v>
      </c>
    </row>
    <row r="258" spans="1:10" s="86" customFormat="1" ht="18" customHeight="1" x14ac:dyDescent="0.25">
      <c r="A258" s="85">
        <v>255</v>
      </c>
      <c r="B258" s="59" t="s">
        <v>951</v>
      </c>
      <c r="C258" s="59" t="s">
        <v>1037</v>
      </c>
      <c r="D258" s="59" t="s">
        <v>59</v>
      </c>
      <c r="E258" s="30" t="s">
        <v>43</v>
      </c>
      <c r="F258" s="30">
        <v>2000</v>
      </c>
      <c r="G258" s="59" t="s">
        <v>12</v>
      </c>
      <c r="H258" s="59" t="s">
        <v>574</v>
      </c>
      <c r="I258" s="59" t="s">
        <v>546</v>
      </c>
      <c r="J258" t="s">
        <v>270</v>
      </c>
    </row>
    <row r="259" spans="1:10" s="86" customFormat="1" ht="18" customHeight="1" x14ac:dyDescent="0.25">
      <c r="A259" s="85">
        <v>256</v>
      </c>
      <c r="B259" s="59" t="s">
        <v>951</v>
      </c>
      <c r="C259" s="59" t="s">
        <v>1038</v>
      </c>
      <c r="D259" s="59" t="s">
        <v>605</v>
      </c>
      <c r="E259" s="30" t="s">
        <v>35</v>
      </c>
      <c r="F259" s="30">
        <v>10000</v>
      </c>
      <c r="G259" s="59" t="s">
        <v>900</v>
      </c>
      <c r="H259" s="59" t="s">
        <v>390</v>
      </c>
      <c r="I259" s="59" t="s">
        <v>587</v>
      </c>
      <c r="J259" t="s">
        <v>270</v>
      </c>
    </row>
    <row r="260" spans="1:10" s="86" customFormat="1" ht="18" customHeight="1" x14ac:dyDescent="0.25">
      <c r="A260" s="85">
        <v>257</v>
      </c>
      <c r="B260" s="59" t="s">
        <v>951</v>
      </c>
      <c r="C260" s="59" t="s">
        <v>1039</v>
      </c>
      <c r="D260" s="59" t="s">
        <v>59</v>
      </c>
      <c r="E260" s="30" t="s">
        <v>43</v>
      </c>
      <c r="F260" s="30">
        <v>10000</v>
      </c>
      <c r="G260" s="59" t="s">
        <v>500</v>
      </c>
      <c r="H260" s="59" t="s">
        <v>424</v>
      </c>
      <c r="I260" s="59" t="s">
        <v>104</v>
      </c>
      <c r="J260" t="s">
        <v>270</v>
      </c>
    </row>
    <row r="261" spans="1:10" s="86" customFormat="1" ht="18" customHeight="1" x14ac:dyDescent="0.25">
      <c r="A261" s="85">
        <v>258</v>
      </c>
      <c r="B261" s="59" t="s">
        <v>1095</v>
      </c>
      <c r="C261" s="59" t="s">
        <v>1075</v>
      </c>
      <c r="D261" s="59" t="s">
        <v>59</v>
      </c>
      <c r="E261" s="30" t="s">
        <v>43</v>
      </c>
      <c r="F261" s="30">
        <v>1000</v>
      </c>
      <c r="G261" s="59" t="s">
        <v>576</v>
      </c>
      <c r="H261" s="59" t="s">
        <v>921</v>
      </c>
      <c r="I261" s="59" t="s">
        <v>104</v>
      </c>
      <c r="J261"/>
    </row>
    <row r="262" spans="1:10" s="86" customFormat="1" ht="18" customHeight="1" x14ac:dyDescent="0.25">
      <c r="A262" s="85">
        <v>259</v>
      </c>
      <c r="B262" s="59" t="s">
        <v>1095</v>
      </c>
      <c r="C262" s="59" t="s">
        <v>1076</v>
      </c>
      <c r="D262" s="59" t="s">
        <v>622</v>
      </c>
      <c r="E262" s="30" t="s">
        <v>38</v>
      </c>
      <c r="F262" s="30">
        <v>37</v>
      </c>
      <c r="G262" s="59" t="s">
        <v>65</v>
      </c>
      <c r="H262" s="59" t="s">
        <v>575</v>
      </c>
      <c r="I262" s="59" t="s">
        <v>417</v>
      </c>
      <c r="J262"/>
    </row>
    <row r="263" spans="1:10" s="86" customFormat="1" ht="18" customHeight="1" x14ac:dyDescent="0.25">
      <c r="A263" s="85">
        <v>260</v>
      </c>
      <c r="B263" s="59" t="s">
        <v>1095</v>
      </c>
      <c r="C263" s="59" t="s">
        <v>1077</v>
      </c>
      <c r="D263" s="59" t="s">
        <v>59</v>
      </c>
      <c r="E263" s="30" t="s">
        <v>43</v>
      </c>
      <c r="F263" s="30">
        <v>2000</v>
      </c>
      <c r="G263" s="59" t="s">
        <v>12</v>
      </c>
      <c r="H263" s="59" t="s">
        <v>574</v>
      </c>
      <c r="I263" s="59" t="s">
        <v>546</v>
      </c>
      <c r="J263"/>
    </row>
    <row r="264" spans="1:10" s="86" customFormat="1" ht="18" customHeight="1" x14ac:dyDescent="0.25">
      <c r="A264" s="85">
        <v>261</v>
      </c>
      <c r="B264" s="59" t="s">
        <v>1095</v>
      </c>
      <c r="C264" s="59" t="s">
        <v>1078</v>
      </c>
      <c r="D264" s="59" t="s">
        <v>264</v>
      </c>
      <c r="E264" s="30" t="s">
        <v>54</v>
      </c>
      <c r="F264" s="30">
        <v>100000</v>
      </c>
      <c r="G264" s="59" t="s">
        <v>67</v>
      </c>
      <c r="H264" s="59" t="s">
        <v>54</v>
      </c>
      <c r="I264" s="59" t="s">
        <v>264</v>
      </c>
      <c r="J264"/>
    </row>
    <row r="265" spans="1:10" s="86" customFormat="1" ht="18" customHeight="1" x14ac:dyDescent="0.25">
      <c r="A265" s="85">
        <v>262</v>
      </c>
      <c r="B265" s="59" t="s">
        <v>1095</v>
      </c>
      <c r="C265" s="59" t="s">
        <v>1079</v>
      </c>
      <c r="D265" s="59" t="s">
        <v>622</v>
      </c>
      <c r="E265" s="30" t="s">
        <v>38</v>
      </c>
      <c r="F265" s="30">
        <v>420</v>
      </c>
      <c r="G265" s="59" t="s">
        <v>1113</v>
      </c>
      <c r="H265" s="59" t="s">
        <v>64</v>
      </c>
      <c r="I265" s="59" t="s">
        <v>378</v>
      </c>
      <c r="J265"/>
    </row>
    <row r="266" spans="1:10" s="86" customFormat="1" ht="18" customHeight="1" x14ac:dyDescent="0.25">
      <c r="A266" s="85">
        <v>263</v>
      </c>
      <c r="B266" s="59" t="s">
        <v>1095</v>
      </c>
      <c r="C266" s="59" t="s">
        <v>1080</v>
      </c>
      <c r="D266" s="59" t="s">
        <v>411</v>
      </c>
      <c r="E266" s="30" t="s">
        <v>41</v>
      </c>
      <c r="F266" s="30">
        <v>500</v>
      </c>
      <c r="G266" s="59" t="s">
        <v>1097</v>
      </c>
      <c r="H266" s="59" t="s">
        <v>575</v>
      </c>
      <c r="I266" s="59" t="s">
        <v>411</v>
      </c>
      <c r="J266"/>
    </row>
    <row r="267" spans="1:10" s="86" customFormat="1" ht="18" customHeight="1" x14ac:dyDescent="0.25">
      <c r="A267" s="85">
        <v>264</v>
      </c>
      <c r="B267" s="59" t="s">
        <v>1095</v>
      </c>
      <c r="C267" s="59" t="s">
        <v>1081</v>
      </c>
      <c r="D267" s="59" t="s">
        <v>59</v>
      </c>
      <c r="E267" s="30" t="s">
        <v>43</v>
      </c>
      <c r="F267" s="30">
        <v>2000</v>
      </c>
      <c r="G267" s="59" t="s">
        <v>1099</v>
      </c>
      <c r="H267" s="59" t="s">
        <v>572</v>
      </c>
      <c r="I267" s="59" t="s">
        <v>1098</v>
      </c>
      <c r="J267"/>
    </row>
    <row r="268" spans="1:10" s="86" customFormat="1" ht="18" customHeight="1" x14ac:dyDescent="0.25">
      <c r="A268" s="85">
        <v>265</v>
      </c>
      <c r="B268" s="59" t="s">
        <v>1095</v>
      </c>
      <c r="C268" s="59" t="s">
        <v>1082</v>
      </c>
      <c r="D268" s="59" t="s">
        <v>605</v>
      </c>
      <c r="E268" s="30" t="s">
        <v>35</v>
      </c>
      <c r="F268" s="30">
        <v>74942</v>
      </c>
      <c r="G268" s="59" t="s">
        <v>1100</v>
      </c>
      <c r="H268" s="59" t="s">
        <v>627</v>
      </c>
      <c r="I268" s="59" t="s">
        <v>587</v>
      </c>
      <c r="J268"/>
    </row>
    <row r="269" spans="1:10" s="86" customFormat="1" ht="18" customHeight="1" x14ac:dyDescent="0.25">
      <c r="A269" s="85">
        <v>266</v>
      </c>
      <c r="B269" s="59" t="s">
        <v>1095</v>
      </c>
      <c r="C269" s="59" t="s">
        <v>1083</v>
      </c>
      <c r="D269" s="59" t="s">
        <v>605</v>
      </c>
      <c r="E269" s="30" t="s">
        <v>35</v>
      </c>
      <c r="F269" s="30">
        <v>11506</v>
      </c>
      <c r="G269" s="59" t="s">
        <v>1100</v>
      </c>
      <c r="H269" s="59" t="s">
        <v>627</v>
      </c>
      <c r="I269" s="59" t="s">
        <v>587</v>
      </c>
      <c r="J269"/>
    </row>
    <row r="270" spans="1:10" s="86" customFormat="1" ht="18" customHeight="1" x14ac:dyDescent="0.25">
      <c r="A270" s="85">
        <v>267</v>
      </c>
      <c r="B270" s="59" t="s">
        <v>1095</v>
      </c>
      <c r="C270" s="59" t="s">
        <v>1084</v>
      </c>
      <c r="D270" s="59" t="s">
        <v>264</v>
      </c>
      <c r="E270" s="30" t="s">
        <v>54</v>
      </c>
      <c r="F270" s="30">
        <v>20000</v>
      </c>
      <c r="G270" s="59" t="s">
        <v>67</v>
      </c>
      <c r="H270" s="59" t="s">
        <v>54</v>
      </c>
      <c r="I270" s="59" t="s">
        <v>264</v>
      </c>
      <c r="J270"/>
    </row>
    <row r="271" spans="1:10" s="86" customFormat="1" ht="18" customHeight="1" x14ac:dyDescent="0.25">
      <c r="A271" s="85">
        <v>268</v>
      </c>
      <c r="B271" s="59" t="s">
        <v>1095</v>
      </c>
      <c r="C271" s="59" t="s">
        <v>1085</v>
      </c>
      <c r="D271" s="59" t="s">
        <v>59</v>
      </c>
      <c r="E271" s="30" t="s">
        <v>43</v>
      </c>
      <c r="F271" s="30">
        <v>20000</v>
      </c>
      <c r="G271" s="59" t="s">
        <v>500</v>
      </c>
      <c r="H271" s="59" t="s">
        <v>574</v>
      </c>
      <c r="I271" s="59" t="s">
        <v>891</v>
      </c>
      <c r="J271"/>
    </row>
    <row r="272" spans="1:10" s="86" customFormat="1" ht="18" customHeight="1" x14ac:dyDescent="0.25">
      <c r="A272" s="85">
        <v>269</v>
      </c>
      <c r="B272" s="59" t="s">
        <v>1096</v>
      </c>
      <c r="C272" s="59" t="s">
        <v>1086</v>
      </c>
      <c r="D272" s="59" t="s">
        <v>59</v>
      </c>
      <c r="E272" s="30" t="s">
        <v>43</v>
      </c>
      <c r="F272" s="30">
        <v>1000</v>
      </c>
      <c r="G272" s="59" t="s">
        <v>576</v>
      </c>
      <c r="H272" s="59" t="s">
        <v>921</v>
      </c>
      <c r="I272" s="59" t="s">
        <v>104</v>
      </c>
      <c r="J272"/>
    </row>
    <row r="273" spans="1:10" s="86" customFormat="1" ht="18" customHeight="1" x14ac:dyDescent="0.25">
      <c r="A273" s="85">
        <v>270</v>
      </c>
      <c r="B273" s="59" t="s">
        <v>1096</v>
      </c>
      <c r="C273" s="59" t="s">
        <v>1087</v>
      </c>
      <c r="D273" s="59" t="s">
        <v>1064</v>
      </c>
      <c r="E273" s="30" t="s">
        <v>220</v>
      </c>
      <c r="F273" s="30">
        <v>780</v>
      </c>
      <c r="G273" s="59" t="s">
        <v>1102</v>
      </c>
      <c r="H273" s="59" t="s">
        <v>627</v>
      </c>
      <c r="I273" s="59" t="s">
        <v>1101</v>
      </c>
      <c r="J273"/>
    </row>
    <row r="274" spans="1:10" s="86" customFormat="1" ht="18" customHeight="1" x14ac:dyDescent="0.25">
      <c r="A274" s="85">
        <v>271</v>
      </c>
      <c r="B274" s="59" t="s">
        <v>1096</v>
      </c>
      <c r="C274" s="59" t="s">
        <v>1088</v>
      </c>
      <c r="D274" s="59" t="s">
        <v>1064</v>
      </c>
      <c r="E274" s="30" t="s">
        <v>220</v>
      </c>
      <c r="F274" s="30">
        <v>1000</v>
      </c>
      <c r="G274" s="59" t="s">
        <v>1103</v>
      </c>
      <c r="H274" s="59" t="s">
        <v>1112</v>
      </c>
      <c r="I274" s="59" t="s">
        <v>81</v>
      </c>
      <c r="J274"/>
    </row>
    <row r="275" spans="1:10" s="86" customFormat="1" ht="18" customHeight="1" x14ac:dyDescent="0.25">
      <c r="A275" s="85">
        <v>272</v>
      </c>
      <c r="B275" s="59" t="s">
        <v>1096</v>
      </c>
      <c r="C275" s="59" t="s">
        <v>1089</v>
      </c>
      <c r="D275" s="59" t="s">
        <v>622</v>
      </c>
      <c r="E275" s="30" t="s">
        <v>38</v>
      </c>
      <c r="F275" s="30">
        <v>2000</v>
      </c>
      <c r="G275" s="59" t="s">
        <v>1104</v>
      </c>
      <c r="H275" s="59" t="s">
        <v>64</v>
      </c>
      <c r="I275" s="96" t="s">
        <v>1111</v>
      </c>
      <c r="J275"/>
    </row>
    <row r="276" spans="1:10" s="86" customFormat="1" ht="18" customHeight="1" x14ac:dyDescent="0.25">
      <c r="A276" s="85">
        <v>273</v>
      </c>
      <c r="B276" s="59" t="s">
        <v>1096</v>
      </c>
      <c r="C276" s="59" t="s">
        <v>1090</v>
      </c>
      <c r="D276" s="59" t="s">
        <v>622</v>
      </c>
      <c r="E276" s="30" t="s">
        <v>38</v>
      </c>
      <c r="F276" s="30">
        <v>200.9</v>
      </c>
      <c r="G276" s="59" t="s">
        <v>759</v>
      </c>
      <c r="H276" s="59" t="s">
        <v>64</v>
      </c>
      <c r="I276" s="59" t="s">
        <v>152</v>
      </c>
      <c r="J276"/>
    </row>
    <row r="277" spans="1:10" s="86" customFormat="1" ht="18" customHeight="1" x14ac:dyDescent="0.25">
      <c r="A277" s="85">
        <v>274</v>
      </c>
      <c r="B277" s="59" t="s">
        <v>1096</v>
      </c>
      <c r="C277" s="59" t="s">
        <v>1091</v>
      </c>
      <c r="D277" s="59" t="s">
        <v>622</v>
      </c>
      <c r="E277" s="30" t="s">
        <v>38</v>
      </c>
      <c r="F277" s="30">
        <v>2000</v>
      </c>
      <c r="G277" s="59" t="s">
        <v>1105</v>
      </c>
      <c r="H277" s="59" t="s">
        <v>64</v>
      </c>
      <c r="I277" s="59" t="s">
        <v>1110</v>
      </c>
      <c r="J277"/>
    </row>
    <row r="278" spans="1:10" s="86" customFormat="1" ht="18" customHeight="1" x14ac:dyDescent="0.25">
      <c r="A278" s="85">
        <v>275</v>
      </c>
      <c r="B278" s="59" t="s">
        <v>1096</v>
      </c>
      <c r="C278" s="59" t="s">
        <v>1092</v>
      </c>
      <c r="D278" s="59" t="s">
        <v>622</v>
      </c>
      <c r="E278" s="30" t="s">
        <v>38</v>
      </c>
      <c r="F278" s="30">
        <v>6000</v>
      </c>
      <c r="G278" s="59" t="s">
        <v>1106</v>
      </c>
      <c r="H278" s="59" t="s">
        <v>64</v>
      </c>
      <c r="I278" s="59" t="s">
        <v>1109</v>
      </c>
      <c r="J278"/>
    </row>
    <row r="279" spans="1:10" s="86" customFormat="1" ht="18" customHeight="1" x14ac:dyDescent="0.25">
      <c r="A279" s="85">
        <v>276</v>
      </c>
      <c r="B279" s="59" t="s">
        <v>1096</v>
      </c>
      <c r="C279" s="59" t="s">
        <v>1093</v>
      </c>
      <c r="D279" s="59" t="s">
        <v>622</v>
      </c>
      <c r="E279" s="30" t="s">
        <v>38</v>
      </c>
      <c r="F279" s="30">
        <v>2505.9</v>
      </c>
      <c r="G279" s="59" t="s">
        <v>1107</v>
      </c>
      <c r="H279" s="59" t="s">
        <v>64</v>
      </c>
      <c r="I279" s="59" t="s">
        <v>378</v>
      </c>
      <c r="J279"/>
    </row>
    <row r="280" spans="1:10" s="86" customFormat="1" ht="18" customHeight="1" x14ac:dyDescent="0.25">
      <c r="A280" s="85">
        <v>277</v>
      </c>
      <c r="B280" s="59" t="s">
        <v>1096</v>
      </c>
      <c r="C280" s="59" t="s">
        <v>1094</v>
      </c>
      <c r="D280" s="59" t="s">
        <v>622</v>
      </c>
      <c r="E280" s="30" t="s">
        <v>38</v>
      </c>
      <c r="F280" s="30">
        <v>230</v>
      </c>
      <c r="G280" s="59" t="s">
        <v>1107</v>
      </c>
      <c r="H280" s="59" t="s">
        <v>64</v>
      </c>
      <c r="I280" s="59" t="s">
        <v>1108</v>
      </c>
      <c r="J280"/>
    </row>
    <row r="281" spans="1:10" x14ac:dyDescent="0.25">
      <c r="A281" s="97">
        <v>1</v>
      </c>
      <c r="B281" s="98">
        <v>45627</v>
      </c>
      <c r="C281" s="99" t="s">
        <v>1114</v>
      </c>
      <c r="D281" s="99" t="s">
        <v>104</v>
      </c>
      <c r="E281" s="99" t="s">
        <v>36</v>
      </c>
      <c r="F281" s="100">
        <v>20000</v>
      </c>
      <c r="G281" s="101" t="s">
        <v>1115</v>
      </c>
      <c r="H281" s="101" t="s">
        <v>575</v>
      </c>
    </row>
    <row r="282" spans="1:10" x14ac:dyDescent="0.25">
      <c r="A282" s="97">
        <v>2</v>
      </c>
      <c r="B282" s="98">
        <v>45629</v>
      </c>
      <c r="C282" s="99" t="s">
        <v>1116</v>
      </c>
      <c r="D282" s="99" t="s">
        <v>223</v>
      </c>
      <c r="E282" s="99" t="s">
        <v>1117</v>
      </c>
      <c r="F282" s="100">
        <v>25000</v>
      </c>
      <c r="G282" s="101" t="s">
        <v>1118</v>
      </c>
      <c r="H282" s="101" t="s">
        <v>730</v>
      </c>
    </row>
    <row r="283" spans="1:10" x14ac:dyDescent="0.25">
      <c r="A283" s="97">
        <v>3</v>
      </c>
      <c r="B283" s="98">
        <v>45629</v>
      </c>
      <c r="C283" s="102" t="s">
        <v>1119</v>
      </c>
      <c r="D283" s="99" t="s">
        <v>491</v>
      </c>
      <c r="E283" s="99" t="s">
        <v>52</v>
      </c>
      <c r="F283" s="100">
        <v>40000</v>
      </c>
      <c r="G283" s="101" t="s">
        <v>67</v>
      </c>
      <c r="H283" s="101" t="s">
        <v>1120</v>
      </c>
    </row>
    <row r="284" spans="1:10" x14ac:dyDescent="0.25">
      <c r="A284" s="97">
        <v>4</v>
      </c>
      <c r="B284" s="98">
        <v>45629</v>
      </c>
      <c r="C284" s="99" t="s">
        <v>1121</v>
      </c>
      <c r="D284" s="99" t="s">
        <v>605</v>
      </c>
      <c r="E284" s="99" t="s">
        <v>35</v>
      </c>
      <c r="F284" s="100">
        <v>45000</v>
      </c>
      <c r="G284" s="101" t="s">
        <v>615</v>
      </c>
      <c r="H284" s="101" t="s">
        <v>731</v>
      </c>
    </row>
    <row r="285" spans="1:10" x14ac:dyDescent="0.25">
      <c r="A285" s="97">
        <v>5</v>
      </c>
      <c r="B285" s="98">
        <v>45630</v>
      </c>
      <c r="C285" s="99" t="s">
        <v>1122</v>
      </c>
      <c r="D285" s="99" t="s">
        <v>605</v>
      </c>
      <c r="E285" s="99" t="s">
        <v>35</v>
      </c>
      <c r="F285" s="100">
        <v>11430</v>
      </c>
      <c r="G285" s="101" t="s">
        <v>615</v>
      </c>
      <c r="H285" s="101" t="s">
        <v>731</v>
      </c>
    </row>
    <row r="286" spans="1:10" x14ac:dyDescent="0.25">
      <c r="A286" s="97">
        <v>6</v>
      </c>
      <c r="B286" s="98">
        <v>45630</v>
      </c>
      <c r="C286" s="99" t="s">
        <v>1123</v>
      </c>
      <c r="D286" s="99" t="s">
        <v>1124</v>
      </c>
      <c r="E286" s="99" t="s">
        <v>1125</v>
      </c>
      <c r="F286" s="100">
        <v>20000</v>
      </c>
      <c r="G286" s="101" t="s">
        <v>1126</v>
      </c>
      <c r="H286" s="101" t="s">
        <v>895</v>
      </c>
    </row>
    <row r="287" spans="1:10" x14ac:dyDescent="0.25">
      <c r="A287" s="97">
        <v>7</v>
      </c>
      <c r="B287" s="98">
        <v>45631</v>
      </c>
      <c r="C287" s="99" t="s">
        <v>1127</v>
      </c>
      <c r="D287" s="99" t="s">
        <v>1128</v>
      </c>
      <c r="E287" s="99" t="s">
        <v>1129</v>
      </c>
      <c r="F287" s="100">
        <v>5000</v>
      </c>
      <c r="G287" s="101" t="s">
        <v>1130</v>
      </c>
      <c r="H287" s="101" t="s">
        <v>730</v>
      </c>
    </row>
    <row r="288" spans="1:10" x14ac:dyDescent="0.25">
      <c r="A288" s="97">
        <v>8</v>
      </c>
      <c r="B288" s="98">
        <v>45631</v>
      </c>
      <c r="C288" s="99" t="s">
        <v>1131</v>
      </c>
      <c r="D288" s="99" t="s">
        <v>1128</v>
      </c>
      <c r="E288" s="99" t="s">
        <v>1129</v>
      </c>
      <c r="F288" s="100">
        <v>5000</v>
      </c>
      <c r="G288" s="101" t="s">
        <v>1132</v>
      </c>
      <c r="H288" s="101" t="s">
        <v>64</v>
      </c>
    </row>
    <row r="289" spans="1:8" x14ac:dyDescent="0.25">
      <c r="A289" s="97">
        <v>9</v>
      </c>
      <c r="B289" s="98">
        <v>45631</v>
      </c>
      <c r="C289" s="99" t="s">
        <v>1133</v>
      </c>
      <c r="D289" s="99" t="s">
        <v>1134</v>
      </c>
      <c r="E289" s="99" t="s">
        <v>1135</v>
      </c>
      <c r="F289" s="103">
        <v>127000</v>
      </c>
      <c r="G289" s="101" t="s">
        <v>731</v>
      </c>
      <c r="H289" s="101" t="s">
        <v>731</v>
      </c>
    </row>
    <row r="290" spans="1:8" x14ac:dyDescent="0.25">
      <c r="A290" s="97">
        <v>10</v>
      </c>
      <c r="B290" s="98">
        <v>45631</v>
      </c>
      <c r="C290" s="99" t="s">
        <v>1136</v>
      </c>
      <c r="D290" s="99" t="s">
        <v>1134</v>
      </c>
      <c r="E290" s="99" t="s">
        <v>1135</v>
      </c>
      <c r="F290" s="103">
        <v>57348</v>
      </c>
      <c r="G290" s="101" t="s">
        <v>731</v>
      </c>
      <c r="H290" s="101" t="s">
        <v>731</v>
      </c>
    </row>
    <row r="291" spans="1:8" x14ac:dyDescent="0.25">
      <c r="A291" s="97">
        <v>11</v>
      </c>
      <c r="B291" s="98">
        <v>45632</v>
      </c>
      <c r="C291" s="99" t="s">
        <v>1137</v>
      </c>
      <c r="D291" s="99" t="s">
        <v>605</v>
      </c>
      <c r="E291" s="99" t="s">
        <v>1138</v>
      </c>
      <c r="F291" s="100">
        <v>60000</v>
      </c>
      <c r="G291" s="101" t="s">
        <v>615</v>
      </c>
      <c r="H291" s="101" t="s">
        <v>895</v>
      </c>
    </row>
    <row r="292" spans="1:8" x14ac:dyDescent="0.25">
      <c r="A292" s="97">
        <v>12</v>
      </c>
      <c r="B292" s="98">
        <v>45632</v>
      </c>
      <c r="C292" s="99" t="s">
        <v>1139</v>
      </c>
      <c r="D292" s="99" t="s">
        <v>605</v>
      </c>
      <c r="E292" s="99" t="s">
        <v>1138</v>
      </c>
      <c r="F292" s="100">
        <v>41460</v>
      </c>
      <c r="G292" s="101" t="s">
        <v>615</v>
      </c>
      <c r="H292" s="101" t="s">
        <v>895</v>
      </c>
    </row>
    <row r="293" spans="1:8" x14ac:dyDescent="0.25">
      <c r="A293" s="97">
        <v>13</v>
      </c>
      <c r="B293" s="98">
        <v>45632</v>
      </c>
      <c r="C293" s="99" t="s">
        <v>1140</v>
      </c>
      <c r="D293" s="99" t="s">
        <v>605</v>
      </c>
      <c r="E293" s="99" t="s">
        <v>1138</v>
      </c>
      <c r="F293" s="100">
        <v>40000</v>
      </c>
      <c r="G293" s="101" t="s">
        <v>1141</v>
      </c>
      <c r="H293" s="101" t="s">
        <v>575</v>
      </c>
    </row>
    <row r="294" spans="1:8" x14ac:dyDescent="0.25">
      <c r="A294" s="97">
        <v>14</v>
      </c>
      <c r="B294" s="98">
        <v>45632</v>
      </c>
      <c r="C294" s="99" t="s">
        <v>1142</v>
      </c>
      <c r="D294" s="99" t="s">
        <v>1124</v>
      </c>
      <c r="E294" s="99" t="s">
        <v>1125</v>
      </c>
      <c r="F294" s="100">
        <v>10000</v>
      </c>
      <c r="G294" s="101" t="s">
        <v>1126</v>
      </c>
      <c r="H294" s="101" t="s">
        <v>895</v>
      </c>
    </row>
    <row r="295" spans="1:8" x14ac:dyDescent="0.25">
      <c r="A295" s="97">
        <v>15</v>
      </c>
      <c r="B295" s="98">
        <v>45633</v>
      </c>
      <c r="C295" s="99" t="s">
        <v>1143</v>
      </c>
      <c r="D295" s="99" t="s">
        <v>491</v>
      </c>
      <c r="E295" s="99" t="s">
        <v>52</v>
      </c>
      <c r="F295" s="100">
        <v>88000</v>
      </c>
      <c r="G295" s="101" t="s">
        <v>67</v>
      </c>
      <c r="H295" s="101" t="s">
        <v>1120</v>
      </c>
    </row>
    <row r="296" spans="1:8" x14ac:dyDescent="0.25">
      <c r="A296" s="97">
        <v>16</v>
      </c>
      <c r="B296" s="98">
        <v>45633</v>
      </c>
      <c r="C296" s="99" t="s">
        <v>1144</v>
      </c>
      <c r="D296" s="99" t="s">
        <v>491</v>
      </c>
      <c r="E296" s="99" t="s">
        <v>52</v>
      </c>
      <c r="F296" s="100">
        <v>10000</v>
      </c>
      <c r="G296" s="101" t="s">
        <v>67</v>
      </c>
      <c r="H296" s="101" t="s">
        <v>1120</v>
      </c>
    </row>
    <row r="297" spans="1:8" x14ac:dyDescent="0.25">
      <c r="A297" s="97">
        <v>17</v>
      </c>
      <c r="B297" s="98">
        <v>45633</v>
      </c>
      <c r="C297" s="99" t="s">
        <v>1145</v>
      </c>
      <c r="D297" s="99" t="s">
        <v>1124</v>
      </c>
      <c r="E297" s="99" t="s">
        <v>1125</v>
      </c>
      <c r="F297" s="100">
        <v>20000</v>
      </c>
      <c r="G297" s="101" t="s">
        <v>1126</v>
      </c>
      <c r="H297" s="101" t="s">
        <v>895</v>
      </c>
    </row>
    <row r="298" spans="1:8" x14ac:dyDescent="0.25">
      <c r="A298" s="97">
        <v>18</v>
      </c>
      <c r="B298" s="98">
        <v>45633</v>
      </c>
      <c r="C298" s="99" t="s">
        <v>1146</v>
      </c>
      <c r="D298" s="99" t="s">
        <v>491</v>
      </c>
      <c r="E298" s="99" t="s">
        <v>52</v>
      </c>
      <c r="F298" s="100">
        <v>15000</v>
      </c>
      <c r="G298" s="101" t="s">
        <v>67</v>
      </c>
      <c r="H298" s="101" t="s">
        <v>1120</v>
      </c>
    </row>
    <row r="299" spans="1:8" x14ac:dyDescent="0.25">
      <c r="A299" s="97">
        <v>19</v>
      </c>
      <c r="B299" s="98">
        <v>45634</v>
      </c>
      <c r="C299" s="99" t="s">
        <v>1147</v>
      </c>
      <c r="D299" s="99" t="s">
        <v>104</v>
      </c>
      <c r="E299" s="99" t="s">
        <v>36</v>
      </c>
      <c r="F299" s="100">
        <v>15000</v>
      </c>
      <c r="G299" s="101" t="s">
        <v>1115</v>
      </c>
      <c r="H299" s="101" t="s">
        <v>575</v>
      </c>
    </row>
    <row r="300" spans="1:8" x14ac:dyDescent="0.25">
      <c r="A300" s="97">
        <v>20</v>
      </c>
      <c r="B300" s="98">
        <v>45634</v>
      </c>
      <c r="C300" s="99" t="s">
        <v>1148</v>
      </c>
      <c r="D300" s="99" t="s">
        <v>1149</v>
      </c>
      <c r="E300" s="99" t="s">
        <v>1150</v>
      </c>
      <c r="F300" s="100">
        <v>30000</v>
      </c>
      <c r="G300" s="101" t="s">
        <v>573</v>
      </c>
      <c r="H300" s="101" t="s">
        <v>730</v>
      </c>
    </row>
    <row r="301" spans="1:8" x14ac:dyDescent="0.25">
      <c r="A301" s="97">
        <v>21</v>
      </c>
      <c r="B301" s="98">
        <v>45634</v>
      </c>
      <c r="C301" s="99" t="s">
        <v>1151</v>
      </c>
      <c r="D301" s="99" t="s">
        <v>1149</v>
      </c>
      <c r="E301" s="99" t="s">
        <v>1150</v>
      </c>
      <c r="F301" s="100">
        <v>35000</v>
      </c>
      <c r="G301" s="101" t="s">
        <v>429</v>
      </c>
      <c r="H301" s="101" t="s">
        <v>730</v>
      </c>
    </row>
    <row r="302" spans="1:8" x14ac:dyDescent="0.25">
      <c r="A302" s="97">
        <v>22</v>
      </c>
      <c r="B302" s="98">
        <v>45634</v>
      </c>
      <c r="C302" s="99" t="s">
        <v>1152</v>
      </c>
      <c r="D302" s="99" t="s">
        <v>104</v>
      </c>
      <c r="E302" s="99" t="s">
        <v>36</v>
      </c>
      <c r="F302" s="100">
        <v>5000</v>
      </c>
      <c r="G302" s="101" t="s">
        <v>1115</v>
      </c>
      <c r="H302" s="101" t="s">
        <v>575</v>
      </c>
    </row>
    <row r="303" spans="1:8" x14ac:dyDescent="0.25">
      <c r="A303" s="97">
        <v>23</v>
      </c>
      <c r="B303" s="98">
        <v>45634</v>
      </c>
      <c r="C303" s="99" t="s">
        <v>1153</v>
      </c>
      <c r="D303" s="99" t="s">
        <v>1149</v>
      </c>
      <c r="E303" s="99" t="s">
        <v>1150</v>
      </c>
      <c r="F303" s="100">
        <v>22000</v>
      </c>
      <c r="G303" s="101" t="s">
        <v>765</v>
      </c>
      <c r="H303" s="101" t="s">
        <v>730</v>
      </c>
    </row>
    <row r="304" spans="1:8" x14ac:dyDescent="0.25">
      <c r="A304" s="97">
        <v>24</v>
      </c>
      <c r="B304" s="98">
        <v>45634</v>
      </c>
      <c r="C304" s="99" t="s">
        <v>1154</v>
      </c>
      <c r="D304" s="99" t="s">
        <v>1149</v>
      </c>
      <c r="E304" s="99" t="s">
        <v>1150</v>
      </c>
      <c r="F304" s="100">
        <v>17000</v>
      </c>
      <c r="G304" s="101" t="s">
        <v>1155</v>
      </c>
      <c r="H304" s="101" t="s">
        <v>730</v>
      </c>
    </row>
    <row r="305" spans="1:8" x14ac:dyDescent="0.25">
      <c r="A305" s="97">
        <v>25</v>
      </c>
      <c r="B305" s="98">
        <v>45634</v>
      </c>
      <c r="C305" s="99" t="s">
        <v>1156</v>
      </c>
      <c r="D305" s="99" t="s">
        <v>1149</v>
      </c>
      <c r="E305" s="99" t="s">
        <v>1150</v>
      </c>
      <c r="F305" s="100">
        <v>20000</v>
      </c>
      <c r="G305" s="101" t="s">
        <v>1157</v>
      </c>
      <c r="H305" s="101" t="s">
        <v>730</v>
      </c>
    </row>
    <row r="306" spans="1:8" x14ac:dyDescent="0.25">
      <c r="A306" s="97">
        <v>26</v>
      </c>
      <c r="B306" s="98">
        <v>45634</v>
      </c>
      <c r="C306" s="99" t="s">
        <v>1158</v>
      </c>
      <c r="D306" s="99" t="s">
        <v>1149</v>
      </c>
      <c r="E306" s="99" t="s">
        <v>1150</v>
      </c>
      <c r="F306" s="100">
        <v>17000</v>
      </c>
      <c r="G306" s="101" t="s">
        <v>1159</v>
      </c>
      <c r="H306" s="101" t="s">
        <v>730</v>
      </c>
    </row>
    <row r="307" spans="1:8" x14ac:dyDescent="0.25">
      <c r="A307" s="97">
        <v>27</v>
      </c>
      <c r="B307" s="98">
        <v>45634</v>
      </c>
      <c r="C307" s="99" t="s">
        <v>1160</v>
      </c>
      <c r="D307" s="99" t="s">
        <v>1149</v>
      </c>
      <c r="E307" s="99" t="s">
        <v>1150</v>
      </c>
      <c r="F307" s="100">
        <v>35000</v>
      </c>
      <c r="G307" s="101" t="s">
        <v>909</v>
      </c>
      <c r="H307" s="101" t="s">
        <v>730</v>
      </c>
    </row>
    <row r="308" spans="1:8" x14ac:dyDescent="0.25">
      <c r="A308" s="97">
        <v>28</v>
      </c>
      <c r="B308" s="98">
        <v>45635</v>
      </c>
      <c r="C308" s="99" t="s">
        <v>1161</v>
      </c>
      <c r="D308" s="99" t="s">
        <v>1149</v>
      </c>
      <c r="E308" s="99" t="s">
        <v>1150</v>
      </c>
      <c r="F308" s="100">
        <v>5000</v>
      </c>
      <c r="G308" s="101" t="s">
        <v>1162</v>
      </c>
      <c r="H308" s="101" t="s">
        <v>730</v>
      </c>
    </row>
    <row r="309" spans="1:8" x14ac:dyDescent="0.25">
      <c r="A309" s="97">
        <v>29</v>
      </c>
      <c r="B309" s="98">
        <v>45635</v>
      </c>
      <c r="C309" s="99" t="s">
        <v>1163</v>
      </c>
      <c r="D309" s="99" t="s">
        <v>605</v>
      </c>
      <c r="E309" s="99" t="s">
        <v>1138</v>
      </c>
      <c r="F309" s="100">
        <v>400000</v>
      </c>
      <c r="G309" s="101" t="s">
        <v>1164</v>
      </c>
      <c r="H309" s="101" t="s">
        <v>1165</v>
      </c>
    </row>
    <row r="310" spans="1:8" x14ac:dyDescent="0.25">
      <c r="A310" s="97">
        <v>30</v>
      </c>
      <c r="B310" s="98">
        <v>45635</v>
      </c>
      <c r="C310" s="99" t="s">
        <v>1166</v>
      </c>
      <c r="D310" s="99" t="s">
        <v>491</v>
      </c>
      <c r="E310" s="99" t="s">
        <v>52</v>
      </c>
      <c r="F310" s="100">
        <v>16000</v>
      </c>
      <c r="G310" s="101" t="s">
        <v>67</v>
      </c>
      <c r="H310" s="101" t="s">
        <v>1120</v>
      </c>
    </row>
    <row r="311" spans="1:8" x14ac:dyDescent="0.25">
      <c r="A311" s="97">
        <v>31</v>
      </c>
      <c r="B311" s="98">
        <v>45635</v>
      </c>
      <c r="C311" s="99" t="s">
        <v>1167</v>
      </c>
      <c r="D311" s="99" t="s">
        <v>1168</v>
      </c>
      <c r="E311" s="99" t="s">
        <v>1125</v>
      </c>
      <c r="F311" s="100">
        <v>10000</v>
      </c>
      <c r="G311" s="101" t="s">
        <v>1126</v>
      </c>
      <c r="H311" s="101" t="s">
        <v>895</v>
      </c>
    </row>
    <row r="312" spans="1:8" x14ac:dyDescent="0.25">
      <c r="A312" s="97">
        <v>32</v>
      </c>
      <c r="B312" s="98">
        <v>45636</v>
      </c>
      <c r="C312" s="99" t="s">
        <v>1169</v>
      </c>
      <c r="D312" s="99" t="s">
        <v>491</v>
      </c>
      <c r="E312" s="99" t="s">
        <v>52</v>
      </c>
      <c r="F312" s="100">
        <v>10000</v>
      </c>
      <c r="G312" s="101" t="s">
        <v>67</v>
      </c>
      <c r="H312" s="101" t="s">
        <v>1120</v>
      </c>
    </row>
    <row r="313" spans="1:8" x14ac:dyDescent="0.25">
      <c r="A313" s="97">
        <v>33</v>
      </c>
      <c r="B313" s="98">
        <v>45636</v>
      </c>
      <c r="C313" s="99" t="s">
        <v>1170</v>
      </c>
      <c r="D313" s="99" t="s">
        <v>491</v>
      </c>
      <c r="E313" s="99" t="s">
        <v>52</v>
      </c>
      <c r="F313" s="100">
        <v>25000</v>
      </c>
      <c r="G313" s="101" t="s">
        <v>67</v>
      </c>
      <c r="H313" s="101" t="s">
        <v>1120</v>
      </c>
    </row>
    <row r="314" spans="1:8" x14ac:dyDescent="0.25">
      <c r="A314" s="97">
        <v>34</v>
      </c>
      <c r="B314" s="98">
        <v>45637</v>
      </c>
      <c r="C314" s="99" t="s">
        <v>1171</v>
      </c>
      <c r="D314" s="99" t="s">
        <v>1124</v>
      </c>
      <c r="E314" s="99" t="s">
        <v>1125</v>
      </c>
      <c r="F314" s="100">
        <v>10000</v>
      </c>
      <c r="G314" s="101" t="s">
        <v>1126</v>
      </c>
      <c r="H314" s="101" t="s">
        <v>895</v>
      </c>
    </row>
    <row r="315" spans="1:8" x14ac:dyDescent="0.25">
      <c r="A315" s="97">
        <v>35</v>
      </c>
      <c r="B315" s="98">
        <v>45637</v>
      </c>
      <c r="C315" s="99" t="s">
        <v>1172</v>
      </c>
      <c r="D315" s="99" t="s">
        <v>1173</v>
      </c>
      <c r="E315" s="99" t="s">
        <v>38</v>
      </c>
      <c r="F315" s="100">
        <v>19000</v>
      </c>
      <c r="G315" s="101" t="s">
        <v>1174</v>
      </c>
      <c r="H315" s="101" t="s">
        <v>730</v>
      </c>
    </row>
    <row r="316" spans="1:8" x14ac:dyDescent="0.25">
      <c r="A316" s="97">
        <v>36</v>
      </c>
      <c r="B316" s="98">
        <v>45637</v>
      </c>
      <c r="C316" s="99" t="s">
        <v>1175</v>
      </c>
      <c r="D316" s="99" t="s">
        <v>1128</v>
      </c>
      <c r="E316" s="99" t="s">
        <v>1129</v>
      </c>
      <c r="F316" s="100">
        <v>25000</v>
      </c>
      <c r="G316" s="101" t="s">
        <v>1176</v>
      </c>
      <c r="H316" s="101" t="s">
        <v>730</v>
      </c>
    </row>
    <row r="317" spans="1:8" x14ac:dyDescent="0.25">
      <c r="A317" s="97">
        <v>37</v>
      </c>
      <c r="B317" s="98">
        <v>45637</v>
      </c>
      <c r="C317" s="99" t="s">
        <v>1177</v>
      </c>
      <c r="D317" s="99" t="s">
        <v>1149</v>
      </c>
      <c r="E317" s="99" t="s">
        <v>58</v>
      </c>
      <c r="F317" s="100">
        <v>35000</v>
      </c>
      <c r="G317" s="101" t="s">
        <v>214</v>
      </c>
      <c r="H317" s="101" t="s">
        <v>730</v>
      </c>
    </row>
    <row r="318" spans="1:8" x14ac:dyDescent="0.25">
      <c r="A318" s="97">
        <v>38</v>
      </c>
      <c r="B318" s="98">
        <v>45638</v>
      </c>
      <c r="C318" s="99" t="s">
        <v>1178</v>
      </c>
      <c r="D318" s="99" t="s">
        <v>491</v>
      </c>
      <c r="E318" s="99" t="s">
        <v>52</v>
      </c>
      <c r="F318" s="100">
        <v>25000</v>
      </c>
      <c r="G318" s="101" t="s">
        <v>67</v>
      </c>
      <c r="H318" s="101" t="s">
        <v>1120</v>
      </c>
    </row>
    <row r="319" spans="1:8" x14ac:dyDescent="0.25">
      <c r="A319" s="97">
        <v>39</v>
      </c>
      <c r="B319" s="98">
        <v>45638</v>
      </c>
      <c r="C319" s="99" t="s">
        <v>1179</v>
      </c>
      <c r="D319" s="99" t="s">
        <v>605</v>
      </c>
      <c r="E319" s="99" t="s">
        <v>35</v>
      </c>
      <c r="F319" s="100">
        <v>77415</v>
      </c>
      <c r="G319" s="101" t="s">
        <v>1180</v>
      </c>
      <c r="H319" s="101" t="s">
        <v>895</v>
      </c>
    </row>
    <row r="320" spans="1:8" x14ac:dyDescent="0.25">
      <c r="A320" s="97">
        <v>40</v>
      </c>
      <c r="B320" s="98">
        <v>45638</v>
      </c>
      <c r="C320" s="99" t="s">
        <v>1181</v>
      </c>
      <c r="D320" s="99" t="s">
        <v>1149</v>
      </c>
      <c r="E320" s="99" t="s">
        <v>1150</v>
      </c>
      <c r="F320" s="100">
        <v>30000</v>
      </c>
      <c r="G320" s="101" t="s">
        <v>1182</v>
      </c>
      <c r="H320" s="101" t="s">
        <v>730</v>
      </c>
    </row>
    <row r="321" spans="1:8" x14ac:dyDescent="0.25">
      <c r="A321" s="97">
        <v>41</v>
      </c>
      <c r="B321" s="98">
        <v>45638</v>
      </c>
      <c r="C321" s="99" t="s">
        <v>1183</v>
      </c>
      <c r="D321" s="99" t="s">
        <v>1149</v>
      </c>
      <c r="E321" s="99" t="s">
        <v>58</v>
      </c>
      <c r="F321" s="100">
        <v>15000</v>
      </c>
      <c r="G321" s="101" t="s">
        <v>1184</v>
      </c>
      <c r="H321" s="101" t="s">
        <v>730</v>
      </c>
    </row>
    <row r="322" spans="1:8" x14ac:dyDescent="0.25">
      <c r="A322" s="97">
        <v>42</v>
      </c>
      <c r="B322" s="98">
        <v>45638</v>
      </c>
      <c r="C322" s="99" t="s">
        <v>1185</v>
      </c>
      <c r="D322" s="99" t="s">
        <v>1149</v>
      </c>
      <c r="E322" s="99" t="s">
        <v>1150</v>
      </c>
      <c r="F322" s="100">
        <v>30000</v>
      </c>
      <c r="G322" s="101" t="s">
        <v>1186</v>
      </c>
      <c r="H322" s="101" t="s">
        <v>730</v>
      </c>
    </row>
    <row r="323" spans="1:8" x14ac:dyDescent="0.25">
      <c r="A323" s="97">
        <v>43</v>
      </c>
      <c r="B323" s="98">
        <v>45639</v>
      </c>
      <c r="C323" s="99" t="s">
        <v>1187</v>
      </c>
      <c r="D323" s="99" t="s">
        <v>491</v>
      </c>
      <c r="E323" s="99" t="s">
        <v>52</v>
      </c>
      <c r="F323" s="100">
        <v>20000</v>
      </c>
      <c r="G323" s="101" t="s">
        <v>67</v>
      </c>
      <c r="H323" s="101" t="s">
        <v>1120</v>
      </c>
    </row>
    <row r="324" spans="1:8" x14ac:dyDescent="0.25">
      <c r="A324" s="97">
        <v>44</v>
      </c>
      <c r="B324" s="98">
        <v>45639</v>
      </c>
      <c r="C324" s="99" t="s">
        <v>1188</v>
      </c>
      <c r="D324" s="99" t="s">
        <v>223</v>
      </c>
      <c r="E324" s="99" t="s">
        <v>1117</v>
      </c>
      <c r="F324" s="100">
        <v>20000</v>
      </c>
      <c r="G324" s="101" t="s">
        <v>1118</v>
      </c>
      <c r="H324" s="101" t="s">
        <v>730</v>
      </c>
    </row>
    <row r="325" spans="1:8" x14ac:dyDescent="0.25">
      <c r="A325" s="97">
        <v>45</v>
      </c>
      <c r="B325" s="98">
        <v>45640</v>
      </c>
      <c r="C325" s="99" t="s">
        <v>1189</v>
      </c>
      <c r="D325" s="99" t="s">
        <v>223</v>
      </c>
      <c r="E325" s="99" t="s">
        <v>1117</v>
      </c>
      <c r="F325" s="100">
        <v>50000</v>
      </c>
      <c r="G325" s="101" t="s">
        <v>1118</v>
      </c>
      <c r="H325" s="101" t="s">
        <v>730</v>
      </c>
    </row>
    <row r="326" spans="1:8" x14ac:dyDescent="0.25">
      <c r="A326" s="97">
        <v>46</v>
      </c>
      <c r="B326" s="98">
        <v>45640</v>
      </c>
      <c r="C326" s="99" t="s">
        <v>1190</v>
      </c>
      <c r="D326" s="99" t="s">
        <v>491</v>
      </c>
      <c r="E326" s="99" t="s">
        <v>52</v>
      </c>
      <c r="F326" s="100">
        <v>50000</v>
      </c>
      <c r="G326" s="101" t="s">
        <v>67</v>
      </c>
      <c r="H326" s="101" t="s">
        <v>1120</v>
      </c>
    </row>
    <row r="327" spans="1:8" x14ac:dyDescent="0.25">
      <c r="A327" s="97">
        <v>47</v>
      </c>
      <c r="B327" s="98">
        <v>45640</v>
      </c>
      <c r="C327" s="99" t="s">
        <v>1191</v>
      </c>
      <c r="D327" s="99" t="s">
        <v>1124</v>
      </c>
      <c r="E327" s="99" t="s">
        <v>1125</v>
      </c>
      <c r="F327" s="100">
        <v>15000</v>
      </c>
      <c r="G327" s="101" t="s">
        <v>1126</v>
      </c>
      <c r="H327" s="101" t="s">
        <v>895</v>
      </c>
    </row>
    <row r="328" spans="1:8" x14ac:dyDescent="0.25">
      <c r="A328" s="97">
        <v>48</v>
      </c>
      <c r="B328" s="98">
        <v>45640</v>
      </c>
      <c r="C328" s="99" t="s">
        <v>1192</v>
      </c>
      <c r="D328" s="99" t="s">
        <v>491</v>
      </c>
      <c r="E328" s="99" t="s">
        <v>52</v>
      </c>
      <c r="F328" s="100">
        <v>20000</v>
      </c>
      <c r="G328" s="101" t="s">
        <v>67</v>
      </c>
      <c r="H328" s="101" t="s">
        <v>1120</v>
      </c>
    </row>
    <row r="329" spans="1:8" x14ac:dyDescent="0.25">
      <c r="A329" s="97">
        <v>49</v>
      </c>
      <c r="B329" s="98">
        <v>45640</v>
      </c>
      <c r="C329" s="99" t="s">
        <v>1193</v>
      </c>
      <c r="D329" s="99" t="s">
        <v>104</v>
      </c>
      <c r="E329" s="99" t="s">
        <v>36</v>
      </c>
      <c r="F329" s="100">
        <v>10000</v>
      </c>
      <c r="G329" s="101" t="s">
        <v>1115</v>
      </c>
      <c r="H329" s="101" t="s">
        <v>575</v>
      </c>
    </row>
    <row r="330" spans="1:8" x14ac:dyDescent="0.25">
      <c r="A330" s="97">
        <v>50</v>
      </c>
      <c r="B330" s="98">
        <v>45641</v>
      </c>
      <c r="C330" s="99" t="s">
        <v>1194</v>
      </c>
      <c r="D330" s="99" t="s">
        <v>104</v>
      </c>
      <c r="E330" s="99" t="s">
        <v>36</v>
      </c>
      <c r="F330" s="100">
        <v>15000</v>
      </c>
      <c r="G330" s="101" t="s">
        <v>1115</v>
      </c>
      <c r="H330" s="101" t="s">
        <v>575</v>
      </c>
    </row>
    <row r="331" spans="1:8" x14ac:dyDescent="0.25">
      <c r="A331" s="97">
        <v>51</v>
      </c>
      <c r="B331" s="98">
        <v>45641</v>
      </c>
      <c r="C331" s="99" t="s">
        <v>1195</v>
      </c>
      <c r="D331" s="99" t="s">
        <v>104</v>
      </c>
      <c r="E331" s="99" t="s">
        <v>36</v>
      </c>
      <c r="F331" s="100">
        <v>100000</v>
      </c>
      <c r="G331" s="101" t="s">
        <v>1115</v>
      </c>
      <c r="H331" s="101" t="s">
        <v>575</v>
      </c>
    </row>
    <row r="332" spans="1:8" x14ac:dyDescent="0.25">
      <c r="A332" s="97">
        <v>52</v>
      </c>
      <c r="B332" s="98">
        <v>45642</v>
      </c>
      <c r="C332" s="99" t="s">
        <v>1196</v>
      </c>
      <c r="D332" s="99" t="s">
        <v>491</v>
      </c>
      <c r="E332" s="99" t="s">
        <v>52</v>
      </c>
      <c r="F332" s="100">
        <v>10000</v>
      </c>
      <c r="G332" s="101" t="s">
        <v>67</v>
      </c>
      <c r="H332" s="101" t="s">
        <v>1120</v>
      </c>
    </row>
    <row r="333" spans="1:8" x14ac:dyDescent="0.25">
      <c r="A333" s="97">
        <v>53</v>
      </c>
      <c r="B333" s="98">
        <v>45643</v>
      </c>
      <c r="C333" s="99" t="s">
        <v>1197</v>
      </c>
      <c r="D333" s="99" t="s">
        <v>1134</v>
      </c>
      <c r="E333" s="104" t="s">
        <v>1135</v>
      </c>
      <c r="F333" s="103">
        <v>490000</v>
      </c>
      <c r="G333" s="101" t="s">
        <v>574</v>
      </c>
      <c r="H333" s="101" t="s">
        <v>574</v>
      </c>
    </row>
    <row r="334" spans="1:8" x14ac:dyDescent="0.25">
      <c r="A334" s="97">
        <v>54</v>
      </c>
      <c r="B334" s="98">
        <v>45643</v>
      </c>
      <c r="C334" s="99" t="s">
        <v>1197</v>
      </c>
      <c r="D334" s="99" t="s">
        <v>1134</v>
      </c>
      <c r="E334" s="104" t="s">
        <v>1135</v>
      </c>
      <c r="F334" s="103">
        <v>490000</v>
      </c>
      <c r="G334" s="101" t="s">
        <v>574</v>
      </c>
      <c r="H334" s="101" t="s">
        <v>574</v>
      </c>
    </row>
    <row r="335" spans="1:8" x14ac:dyDescent="0.25">
      <c r="A335" s="97">
        <v>55</v>
      </c>
      <c r="B335" s="98">
        <v>45643</v>
      </c>
      <c r="C335" s="99" t="s">
        <v>1198</v>
      </c>
      <c r="D335" s="99" t="s">
        <v>1124</v>
      </c>
      <c r="E335" s="99" t="s">
        <v>1125</v>
      </c>
      <c r="F335" s="100">
        <v>15000</v>
      </c>
      <c r="G335" s="101" t="s">
        <v>1126</v>
      </c>
      <c r="H335" s="101" t="s">
        <v>895</v>
      </c>
    </row>
    <row r="336" spans="1:8" x14ac:dyDescent="0.25">
      <c r="A336" s="97">
        <v>56</v>
      </c>
      <c r="B336" s="98">
        <v>45643</v>
      </c>
      <c r="C336" s="99" t="s">
        <v>1199</v>
      </c>
      <c r="D336" s="99" t="s">
        <v>491</v>
      </c>
      <c r="E336" s="99" t="s">
        <v>52</v>
      </c>
      <c r="F336" s="100">
        <v>20000</v>
      </c>
      <c r="G336" s="101" t="s">
        <v>67</v>
      </c>
      <c r="H336" s="101" t="s">
        <v>1120</v>
      </c>
    </row>
    <row r="337" spans="1:8" x14ac:dyDescent="0.25">
      <c r="A337" s="97">
        <v>57</v>
      </c>
      <c r="B337" s="98">
        <v>45643</v>
      </c>
      <c r="C337" s="99" t="s">
        <v>1200</v>
      </c>
      <c r="D337" s="99" t="s">
        <v>223</v>
      </c>
      <c r="E337" s="99" t="s">
        <v>1117</v>
      </c>
      <c r="F337" s="100">
        <v>10000</v>
      </c>
      <c r="G337" s="101" t="s">
        <v>1118</v>
      </c>
      <c r="H337" s="101" t="s">
        <v>730</v>
      </c>
    </row>
    <row r="338" spans="1:8" x14ac:dyDescent="0.25">
      <c r="A338" s="97">
        <v>58</v>
      </c>
      <c r="B338" s="98">
        <v>45643</v>
      </c>
      <c r="C338" s="99" t="s">
        <v>1201</v>
      </c>
      <c r="D338" s="99" t="s">
        <v>223</v>
      </c>
      <c r="E338" s="99" t="s">
        <v>1117</v>
      </c>
      <c r="F338" s="100">
        <v>20000</v>
      </c>
      <c r="G338" s="101" t="s">
        <v>1118</v>
      </c>
      <c r="H338" s="101" t="s">
        <v>730</v>
      </c>
    </row>
    <row r="339" spans="1:8" x14ac:dyDescent="0.25">
      <c r="A339" s="97">
        <v>59</v>
      </c>
      <c r="B339" s="98">
        <v>45644</v>
      </c>
      <c r="C339" s="99" t="s">
        <v>1202</v>
      </c>
      <c r="D339" s="99" t="s">
        <v>491</v>
      </c>
      <c r="E339" s="99" t="s">
        <v>52</v>
      </c>
      <c r="F339" s="100">
        <v>65000</v>
      </c>
      <c r="G339" s="101" t="s">
        <v>67</v>
      </c>
      <c r="H339" s="101" t="s">
        <v>1120</v>
      </c>
    </row>
    <row r="340" spans="1:8" x14ac:dyDescent="0.25">
      <c r="A340" s="97">
        <v>60</v>
      </c>
      <c r="B340" s="98">
        <v>45645</v>
      </c>
      <c r="C340" s="99" t="s">
        <v>1203</v>
      </c>
      <c r="D340" s="99" t="s">
        <v>1149</v>
      </c>
      <c r="E340" s="99" t="s">
        <v>1150</v>
      </c>
      <c r="F340" s="100">
        <v>10000</v>
      </c>
      <c r="G340" s="101" t="s">
        <v>576</v>
      </c>
      <c r="H340" s="101" t="s">
        <v>730</v>
      </c>
    </row>
    <row r="341" spans="1:8" x14ac:dyDescent="0.25">
      <c r="A341" s="97">
        <v>61</v>
      </c>
      <c r="B341" s="98">
        <v>45645</v>
      </c>
      <c r="C341" s="99" t="s">
        <v>1204</v>
      </c>
      <c r="D341" s="99" t="s">
        <v>1134</v>
      </c>
      <c r="E341" s="104" t="s">
        <v>1135</v>
      </c>
      <c r="F341" s="103">
        <v>3500000</v>
      </c>
      <c r="G341" s="101" t="s">
        <v>1205</v>
      </c>
      <c r="H341" s="101" t="s">
        <v>1165</v>
      </c>
    </row>
    <row r="342" spans="1:8" x14ac:dyDescent="0.25">
      <c r="A342" s="97">
        <v>62</v>
      </c>
      <c r="B342" s="98">
        <v>45646</v>
      </c>
      <c r="C342" s="99" t="s">
        <v>1206</v>
      </c>
      <c r="D342" s="99" t="s">
        <v>491</v>
      </c>
      <c r="E342" s="99" t="s">
        <v>52</v>
      </c>
      <c r="F342" s="100">
        <v>10000</v>
      </c>
      <c r="G342" s="101" t="s">
        <v>67</v>
      </c>
      <c r="H342" s="101" t="s">
        <v>1120</v>
      </c>
    </row>
    <row r="343" spans="1:8" x14ac:dyDescent="0.25">
      <c r="A343" s="97">
        <v>63</v>
      </c>
      <c r="B343" s="98">
        <v>45646</v>
      </c>
      <c r="C343" s="99" t="s">
        <v>1207</v>
      </c>
      <c r="D343" s="99" t="s">
        <v>1149</v>
      </c>
      <c r="E343" s="99" t="s">
        <v>1150</v>
      </c>
      <c r="F343" s="100">
        <v>5000</v>
      </c>
      <c r="G343" s="101" t="s">
        <v>1208</v>
      </c>
      <c r="H343" s="101" t="s">
        <v>730</v>
      </c>
    </row>
    <row r="344" spans="1:8" x14ac:dyDescent="0.25">
      <c r="A344" s="97">
        <v>64</v>
      </c>
      <c r="B344" s="98">
        <v>45646</v>
      </c>
      <c r="C344" s="99" t="s">
        <v>1209</v>
      </c>
      <c r="D344" s="99" t="s">
        <v>491</v>
      </c>
      <c r="E344" s="99" t="s">
        <v>52</v>
      </c>
      <c r="F344" s="100">
        <v>10000</v>
      </c>
      <c r="G344" s="101" t="s">
        <v>67</v>
      </c>
      <c r="H344" s="101" t="s">
        <v>1120</v>
      </c>
    </row>
    <row r="345" spans="1:8" x14ac:dyDescent="0.25">
      <c r="A345" s="97">
        <v>65</v>
      </c>
      <c r="B345" s="98">
        <v>45646</v>
      </c>
      <c r="C345" s="99" t="s">
        <v>1210</v>
      </c>
      <c r="D345" s="99" t="s">
        <v>491</v>
      </c>
      <c r="E345" s="99" t="s">
        <v>52</v>
      </c>
      <c r="F345" s="100">
        <v>20000</v>
      </c>
      <c r="G345" s="101" t="s">
        <v>67</v>
      </c>
      <c r="H345" s="101" t="s">
        <v>1120</v>
      </c>
    </row>
    <row r="346" spans="1:8" x14ac:dyDescent="0.25">
      <c r="A346" s="97">
        <v>66</v>
      </c>
      <c r="B346" s="98">
        <v>45646</v>
      </c>
      <c r="C346" s="99" t="s">
        <v>1211</v>
      </c>
      <c r="D346" s="99" t="s">
        <v>223</v>
      </c>
      <c r="E346" s="99" t="s">
        <v>1117</v>
      </c>
      <c r="F346" s="100">
        <v>20000</v>
      </c>
      <c r="G346" s="101" t="s">
        <v>1118</v>
      </c>
      <c r="H346" s="101" t="s">
        <v>730</v>
      </c>
    </row>
    <row r="347" spans="1:8" x14ac:dyDescent="0.25">
      <c r="A347" s="97">
        <v>67</v>
      </c>
      <c r="B347" s="98">
        <v>45647</v>
      </c>
      <c r="C347" s="99" t="s">
        <v>1212</v>
      </c>
      <c r="D347" s="99" t="s">
        <v>605</v>
      </c>
      <c r="E347" s="99" t="s">
        <v>35</v>
      </c>
      <c r="F347" s="100">
        <v>1000000</v>
      </c>
      <c r="G347" s="101" t="s">
        <v>1164</v>
      </c>
      <c r="H347" s="101" t="s">
        <v>1165</v>
      </c>
    </row>
    <row r="348" spans="1:8" x14ac:dyDescent="0.25">
      <c r="A348" s="97">
        <v>68</v>
      </c>
      <c r="B348" s="98">
        <v>45647</v>
      </c>
      <c r="C348" s="99" t="s">
        <v>1213</v>
      </c>
      <c r="D348" s="99" t="s">
        <v>491</v>
      </c>
      <c r="E348" s="99" t="s">
        <v>52</v>
      </c>
      <c r="F348" s="100">
        <v>20000</v>
      </c>
      <c r="G348" s="101" t="s">
        <v>67</v>
      </c>
      <c r="H348" s="101" t="s">
        <v>1120</v>
      </c>
    </row>
    <row r="349" spans="1:8" x14ac:dyDescent="0.25">
      <c r="A349" s="97">
        <v>69</v>
      </c>
      <c r="B349" s="98">
        <v>45647</v>
      </c>
      <c r="C349" s="99" t="s">
        <v>1214</v>
      </c>
      <c r="D349" s="99" t="s">
        <v>491</v>
      </c>
      <c r="E349" s="99" t="s">
        <v>52</v>
      </c>
      <c r="F349" s="100">
        <v>20000</v>
      </c>
      <c r="G349" s="101" t="s">
        <v>67</v>
      </c>
      <c r="H349" s="101" t="s">
        <v>1120</v>
      </c>
    </row>
    <row r="350" spans="1:8" x14ac:dyDescent="0.25">
      <c r="A350" s="97">
        <v>70</v>
      </c>
      <c r="B350" s="98">
        <v>45647</v>
      </c>
      <c r="C350" s="99" t="s">
        <v>1215</v>
      </c>
      <c r="D350" s="99" t="s">
        <v>1124</v>
      </c>
      <c r="E350" s="99" t="s">
        <v>1125</v>
      </c>
      <c r="F350" s="100">
        <v>10000</v>
      </c>
      <c r="G350" s="101" t="s">
        <v>1126</v>
      </c>
      <c r="H350" s="101" t="s">
        <v>895</v>
      </c>
    </row>
    <row r="351" spans="1:8" x14ac:dyDescent="0.25">
      <c r="A351" s="97">
        <v>71</v>
      </c>
      <c r="B351" s="98">
        <v>45648</v>
      </c>
      <c r="C351" s="99" t="s">
        <v>1216</v>
      </c>
      <c r="D351" s="99" t="s">
        <v>491</v>
      </c>
      <c r="E351" s="99" t="s">
        <v>52</v>
      </c>
      <c r="F351" s="100">
        <v>25000</v>
      </c>
      <c r="G351" s="101" t="s">
        <v>67</v>
      </c>
      <c r="H351" s="101" t="s">
        <v>1120</v>
      </c>
    </row>
    <row r="352" spans="1:8" x14ac:dyDescent="0.25">
      <c r="A352" s="97">
        <v>72</v>
      </c>
      <c r="B352" s="98">
        <v>45648</v>
      </c>
      <c r="C352" s="99" t="s">
        <v>1217</v>
      </c>
      <c r="D352" s="99" t="s">
        <v>104</v>
      </c>
      <c r="E352" s="99" t="s">
        <v>36</v>
      </c>
      <c r="F352" s="100">
        <v>15000</v>
      </c>
      <c r="G352" s="101" t="s">
        <v>1115</v>
      </c>
      <c r="H352" s="101" t="s">
        <v>575</v>
      </c>
    </row>
    <row r="353" spans="1:8" x14ac:dyDescent="0.25">
      <c r="A353" s="97">
        <v>73</v>
      </c>
      <c r="B353" s="98">
        <v>45649</v>
      </c>
      <c r="C353" s="99" t="s">
        <v>1218</v>
      </c>
      <c r="D353" s="99" t="s">
        <v>605</v>
      </c>
      <c r="E353" s="99" t="s">
        <v>35</v>
      </c>
      <c r="F353" s="100">
        <v>500000</v>
      </c>
      <c r="G353" s="101" t="s">
        <v>1164</v>
      </c>
      <c r="H353" s="101" t="s">
        <v>1165</v>
      </c>
    </row>
    <row r="354" spans="1:8" x14ac:dyDescent="0.25">
      <c r="A354" s="97">
        <v>74</v>
      </c>
      <c r="B354" s="98">
        <v>45649</v>
      </c>
      <c r="C354" s="99" t="s">
        <v>1219</v>
      </c>
      <c r="D354" s="99" t="s">
        <v>491</v>
      </c>
      <c r="E354" s="99" t="s">
        <v>52</v>
      </c>
      <c r="F354" s="100">
        <v>10000</v>
      </c>
      <c r="G354" s="101" t="s">
        <v>67</v>
      </c>
      <c r="H354" s="101" t="s">
        <v>1120</v>
      </c>
    </row>
    <row r="355" spans="1:8" x14ac:dyDescent="0.25">
      <c r="A355" s="97">
        <v>75</v>
      </c>
      <c r="B355" s="98">
        <v>45649</v>
      </c>
      <c r="C355" s="99" t="s">
        <v>1220</v>
      </c>
      <c r="D355" s="99" t="s">
        <v>491</v>
      </c>
      <c r="E355" s="99" t="s">
        <v>52</v>
      </c>
      <c r="F355" s="100">
        <v>15000</v>
      </c>
      <c r="G355" s="101" t="s">
        <v>67</v>
      </c>
      <c r="H355" s="101" t="s">
        <v>1120</v>
      </c>
    </row>
    <row r="356" spans="1:8" x14ac:dyDescent="0.25">
      <c r="A356" s="97">
        <v>76</v>
      </c>
      <c r="B356" s="98">
        <v>45649</v>
      </c>
      <c r="C356" s="99" t="s">
        <v>1221</v>
      </c>
      <c r="D356" s="99" t="s">
        <v>1124</v>
      </c>
      <c r="E356" s="99" t="s">
        <v>1125</v>
      </c>
      <c r="F356" s="100">
        <v>50000</v>
      </c>
      <c r="G356" s="101" t="s">
        <v>1126</v>
      </c>
      <c r="H356" s="101" t="s">
        <v>895</v>
      </c>
    </row>
    <row r="357" spans="1:8" x14ac:dyDescent="0.25">
      <c r="A357" s="97">
        <v>77</v>
      </c>
      <c r="B357" s="98">
        <v>45649</v>
      </c>
      <c r="C357" s="99" t="s">
        <v>1222</v>
      </c>
      <c r="D357" s="99" t="s">
        <v>1149</v>
      </c>
      <c r="E357" s="99" t="s">
        <v>58</v>
      </c>
      <c r="F357" s="100">
        <v>20000</v>
      </c>
      <c r="G357" s="101" t="s">
        <v>1186</v>
      </c>
      <c r="H357" s="101" t="s">
        <v>730</v>
      </c>
    </row>
    <row r="358" spans="1:8" x14ac:dyDescent="0.25">
      <c r="A358" s="97">
        <v>78</v>
      </c>
      <c r="B358" s="98">
        <v>45650</v>
      </c>
      <c r="C358" s="99" t="s">
        <v>1223</v>
      </c>
      <c r="D358" s="99" t="s">
        <v>491</v>
      </c>
      <c r="E358" s="99" t="s">
        <v>52</v>
      </c>
      <c r="F358" s="100">
        <v>37000</v>
      </c>
      <c r="G358" s="101" t="s">
        <v>67</v>
      </c>
      <c r="H358" s="101" t="s">
        <v>1120</v>
      </c>
    </row>
    <row r="359" spans="1:8" x14ac:dyDescent="0.25">
      <c r="A359" s="97">
        <v>79</v>
      </c>
      <c r="B359" s="98">
        <v>45650</v>
      </c>
      <c r="C359" s="99" t="s">
        <v>1224</v>
      </c>
      <c r="D359" s="99" t="s">
        <v>104</v>
      </c>
      <c r="E359" s="99" t="s">
        <v>36</v>
      </c>
      <c r="F359" s="100">
        <v>100000</v>
      </c>
      <c r="G359" s="101" t="s">
        <v>1115</v>
      </c>
      <c r="H359" s="101" t="s">
        <v>730</v>
      </c>
    </row>
    <row r="360" spans="1:8" x14ac:dyDescent="0.25">
      <c r="A360" s="97">
        <v>80</v>
      </c>
      <c r="B360" s="98">
        <v>45650</v>
      </c>
      <c r="C360" s="99" t="s">
        <v>1225</v>
      </c>
      <c r="D360" s="99" t="s">
        <v>491</v>
      </c>
      <c r="E360" s="99" t="s">
        <v>52</v>
      </c>
      <c r="F360" s="100">
        <v>45000</v>
      </c>
      <c r="G360" s="101" t="s">
        <v>67</v>
      </c>
      <c r="H360" s="101" t="s">
        <v>1120</v>
      </c>
    </row>
    <row r="361" spans="1:8" x14ac:dyDescent="0.25">
      <c r="A361" s="97">
        <v>81</v>
      </c>
      <c r="B361" s="98">
        <v>45651</v>
      </c>
      <c r="C361" s="99" t="s">
        <v>1226</v>
      </c>
      <c r="D361" s="99" t="s">
        <v>1149</v>
      </c>
      <c r="E361" s="99" t="s">
        <v>58</v>
      </c>
      <c r="F361" s="100">
        <v>2000</v>
      </c>
      <c r="G361" s="101" t="s">
        <v>17</v>
      </c>
      <c r="H361" s="101" t="s">
        <v>730</v>
      </c>
    </row>
    <row r="362" spans="1:8" x14ac:dyDescent="0.25">
      <c r="A362" s="97">
        <v>82</v>
      </c>
      <c r="B362" s="98">
        <v>45651</v>
      </c>
      <c r="C362" s="99" t="s">
        <v>1227</v>
      </c>
      <c r="D362" s="99" t="s">
        <v>491</v>
      </c>
      <c r="E362" s="99" t="s">
        <v>52</v>
      </c>
      <c r="F362" s="100">
        <v>10000</v>
      </c>
      <c r="G362" s="101" t="s">
        <v>67</v>
      </c>
      <c r="H362" s="101" t="s">
        <v>1120</v>
      </c>
    </row>
    <row r="363" spans="1:8" x14ac:dyDescent="0.25">
      <c r="A363" s="97">
        <v>83</v>
      </c>
      <c r="B363" s="98">
        <v>45651</v>
      </c>
      <c r="C363" s="99" t="s">
        <v>1228</v>
      </c>
      <c r="D363" s="99" t="s">
        <v>1149</v>
      </c>
      <c r="E363" s="99" t="s">
        <v>1150</v>
      </c>
      <c r="F363" s="100">
        <v>5000</v>
      </c>
      <c r="G363" s="101" t="s">
        <v>1208</v>
      </c>
      <c r="H363" s="101" t="s">
        <v>64</v>
      </c>
    </row>
    <row r="364" spans="1:8" x14ac:dyDescent="0.25">
      <c r="A364" s="97">
        <v>84</v>
      </c>
      <c r="B364" s="98">
        <v>45651</v>
      </c>
      <c r="C364" s="99" t="s">
        <v>1229</v>
      </c>
      <c r="D364" s="99" t="s">
        <v>104</v>
      </c>
      <c r="E364" s="99" t="s">
        <v>36</v>
      </c>
      <c r="F364" s="100">
        <v>100000</v>
      </c>
      <c r="G364" s="101" t="s">
        <v>1115</v>
      </c>
      <c r="H364" s="101" t="s">
        <v>730</v>
      </c>
    </row>
    <row r="365" spans="1:8" x14ac:dyDescent="0.25">
      <c r="A365" s="97">
        <v>85</v>
      </c>
      <c r="B365" s="98">
        <v>45652</v>
      </c>
      <c r="C365" s="99" t="s">
        <v>1230</v>
      </c>
      <c r="D365" s="99" t="s">
        <v>491</v>
      </c>
      <c r="E365" s="99" t="s">
        <v>52</v>
      </c>
      <c r="F365" s="100">
        <v>20000</v>
      </c>
      <c r="G365" s="101" t="s">
        <v>67</v>
      </c>
      <c r="H365" s="101" t="s">
        <v>1120</v>
      </c>
    </row>
    <row r="366" spans="1:8" x14ac:dyDescent="0.25">
      <c r="A366" s="97">
        <v>86</v>
      </c>
      <c r="B366" s="98">
        <v>45652</v>
      </c>
      <c r="C366" s="99" t="s">
        <v>1231</v>
      </c>
      <c r="D366" s="99" t="s">
        <v>605</v>
      </c>
      <c r="E366" s="99" t="s">
        <v>35</v>
      </c>
      <c r="F366" s="100">
        <v>438049</v>
      </c>
      <c r="G366" s="101" t="s">
        <v>1232</v>
      </c>
      <c r="H366" s="101" t="s">
        <v>1165</v>
      </c>
    </row>
    <row r="367" spans="1:8" x14ac:dyDescent="0.25">
      <c r="A367" s="97">
        <v>87</v>
      </c>
      <c r="B367" s="98">
        <v>45652</v>
      </c>
      <c r="C367" s="99" t="s">
        <v>1233</v>
      </c>
      <c r="D367" s="99" t="s">
        <v>605</v>
      </c>
      <c r="E367" s="99" t="s">
        <v>35</v>
      </c>
      <c r="F367" s="100">
        <v>500000</v>
      </c>
      <c r="G367" s="101" t="s">
        <v>1164</v>
      </c>
      <c r="H367" s="101" t="s">
        <v>1165</v>
      </c>
    </row>
    <row r="368" spans="1:8" x14ac:dyDescent="0.25">
      <c r="A368" s="97">
        <v>88</v>
      </c>
      <c r="B368" s="98">
        <v>45652</v>
      </c>
      <c r="C368" s="99" t="s">
        <v>1234</v>
      </c>
      <c r="D368" s="99" t="s">
        <v>1134</v>
      </c>
      <c r="E368" s="104" t="s">
        <v>1135</v>
      </c>
      <c r="F368" s="103">
        <v>100000</v>
      </c>
      <c r="G368" s="101" t="s">
        <v>574</v>
      </c>
      <c r="H368" s="101" t="s">
        <v>574</v>
      </c>
    </row>
    <row r="369" spans="1:8" x14ac:dyDescent="0.25">
      <c r="A369" s="97">
        <v>89</v>
      </c>
      <c r="B369" s="98">
        <v>45653</v>
      </c>
      <c r="C369" s="99" t="s">
        <v>1235</v>
      </c>
      <c r="D369" s="99" t="s">
        <v>491</v>
      </c>
      <c r="E369" s="99" t="s">
        <v>52</v>
      </c>
      <c r="F369" s="100">
        <v>15000</v>
      </c>
      <c r="G369" s="101" t="s">
        <v>67</v>
      </c>
      <c r="H369" s="101" t="s">
        <v>1120</v>
      </c>
    </row>
    <row r="370" spans="1:8" x14ac:dyDescent="0.25">
      <c r="A370" s="97">
        <v>90</v>
      </c>
      <c r="B370" s="98">
        <v>45653</v>
      </c>
      <c r="C370" s="99" t="s">
        <v>1236</v>
      </c>
      <c r="D370" s="99" t="s">
        <v>223</v>
      </c>
      <c r="E370" s="99" t="s">
        <v>1117</v>
      </c>
      <c r="F370" s="100">
        <v>10000</v>
      </c>
      <c r="G370" s="101" t="s">
        <v>1118</v>
      </c>
      <c r="H370" s="101" t="s">
        <v>730</v>
      </c>
    </row>
    <row r="371" spans="1:8" x14ac:dyDescent="0.25">
      <c r="A371" s="97">
        <v>91</v>
      </c>
      <c r="B371" s="98">
        <v>45653</v>
      </c>
      <c r="C371" s="99" t="s">
        <v>1237</v>
      </c>
      <c r="D371" s="99" t="s">
        <v>491</v>
      </c>
      <c r="E371" s="99" t="s">
        <v>52</v>
      </c>
      <c r="F371" s="100">
        <v>10000</v>
      </c>
      <c r="G371" s="101" t="s">
        <v>67</v>
      </c>
      <c r="H371" s="101" t="s">
        <v>1120</v>
      </c>
    </row>
    <row r="372" spans="1:8" x14ac:dyDescent="0.25">
      <c r="A372" s="97">
        <v>92</v>
      </c>
      <c r="B372" s="98">
        <v>45655</v>
      </c>
      <c r="C372" s="99" t="s">
        <v>1238</v>
      </c>
      <c r="D372" s="99" t="s">
        <v>491</v>
      </c>
      <c r="E372" s="99" t="s">
        <v>52</v>
      </c>
      <c r="F372" s="100">
        <v>125000</v>
      </c>
      <c r="G372" s="101" t="s">
        <v>67</v>
      </c>
      <c r="H372" s="101" t="s">
        <v>1120</v>
      </c>
    </row>
    <row r="373" spans="1:8" x14ac:dyDescent="0.25">
      <c r="A373" s="97">
        <v>93</v>
      </c>
      <c r="B373" s="98">
        <v>45655</v>
      </c>
      <c r="C373" s="99" t="s">
        <v>1239</v>
      </c>
      <c r="D373" s="99" t="s">
        <v>104</v>
      </c>
      <c r="E373" s="99" t="s">
        <v>36</v>
      </c>
      <c r="F373" s="100">
        <v>15000</v>
      </c>
      <c r="G373" s="101" t="s">
        <v>1115</v>
      </c>
      <c r="H373" s="101" t="s">
        <v>895</v>
      </c>
    </row>
    <row r="374" spans="1:8" x14ac:dyDescent="0.25">
      <c r="A374" s="97">
        <v>94</v>
      </c>
      <c r="B374" s="98">
        <v>45655</v>
      </c>
      <c r="C374" s="99" t="s">
        <v>1240</v>
      </c>
      <c r="D374" s="99" t="s">
        <v>1241</v>
      </c>
      <c r="E374" s="99" t="s">
        <v>212</v>
      </c>
      <c r="F374" s="97">
        <v>59</v>
      </c>
      <c r="G374" s="101" t="s">
        <v>1242</v>
      </c>
      <c r="H374" s="101" t="s">
        <v>730</v>
      </c>
    </row>
    <row r="375" spans="1:8" x14ac:dyDescent="0.25">
      <c r="A375" s="97">
        <v>95</v>
      </c>
      <c r="B375" s="98">
        <v>45656</v>
      </c>
      <c r="C375" s="99" t="s">
        <v>1243</v>
      </c>
      <c r="D375" s="99" t="s">
        <v>491</v>
      </c>
      <c r="E375" s="99" t="s">
        <v>52</v>
      </c>
      <c r="F375" s="100">
        <v>100000</v>
      </c>
      <c r="G375" s="101" t="s">
        <v>67</v>
      </c>
      <c r="H375" s="101" t="s">
        <v>1120</v>
      </c>
    </row>
    <row r="376" spans="1:8" x14ac:dyDescent="0.25">
      <c r="A376" s="97">
        <v>96</v>
      </c>
      <c r="B376" s="98">
        <v>45656</v>
      </c>
      <c r="C376" s="99" t="s">
        <v>1244</v>
      </c>
      <c r="D376" s="99" t="s">
        <v>605</v>
      </c>
      <c r="E376" s="99" t="s">
        <v>35</v>
      </c>
      <c r="F376" s="100">
        <v>79973</v>
      </c>
      <c r="G376" s="101" t="s">
        <v>1245</v>
      </c>
      <c r="H376" s="101" t="s">
        <v>1165</v>
      </c>
    </row>
    <row r="377" spans="1:8" x14ac:dyDescent="0.25">
      <c r="A377" s="97">
        <v>97</v>
      </c>
      <c r="B377" s="98">
        <v>45656</v>
      </c>
      <c r="C377" s="99" t="s">
        <v>1246</v>
      </c>
      <c r="D377" s="99" t="s">
        <v>491</v>
      </c>
      <c r="E377" s="99" t="s">
        <v>52</v>
      </c>
      <c r="F377" s="100">
        <v>20000</v>
      </c>
      <c r="G377" s="101" t="s">
        <v>67</v>
      </c>
      <c r="H377" s="101" t="s">
        <v>1120</v>
      </c>
    </row>
    <row r="378" spans="1:8" x14ac:dyDescent="0.25">
      <c r="A378" s="97">
        <v>98</v>
      </c>
      <c r="B378" s="98">
        <v>45656</v>
      </c>
      <c r="C378" s="99" t="s">
        <v>1247</v>
      </c>
      <c r="D378" s="99" t="s">
        <v>1149</v>
      </c>
      <c r="E378" s="99" t="s">
        <v>58</v>
      </c>
      <c r="F378" s="100">
        <v>5000</v>
      </c>
      <c r="G378" s="101" t="s">
        <v>1162</v>
      </c>
      <c r="H378" s="101" t="s">
        <v>730</v>
      </c>
    </row>
  </sheetData>
  <autoFilter ref="A3:K3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12"/>
  <sheetViews>
    <sheetView workbookViewId="0">
      <selection activeCell="H10" sqref="H10"/>
    </sheetView>
  </sheetViews>
  <sheetFormatPr defaultRowHeight="15" x14ac:dyDescent="0.25"/>
  <cols>
    <col min="2" max="2" width="13" customWidth="1"/>
    <col min="3" max="3" width="14" customWidth="1"/>
  </cols>
  <sheetData>
    <row r="2" spans="1:8" x14ac:dyDescent="0.25">
      <c r="B2" s="127" t="s">
        <v>583</v>
      </c>
      <c r="C2" s="127"/>
    </row>
    <row r="3" spans="1:8" ht="12.75" customHeight="1" x14ac:dyDescent="0.25"/>
    <row r="4" spans="1:8" x14ac:dyDescent="0.25">
      <c r="A4" s="90" t="s">
        <v>577</v>
      </c>
      <c r="B4" s="88" t="s">
        <v>254</v>
      </c>
      <c r="C4" s="91" t="s">
        <v>260</v>
      </c>
    </row>
    <row r="5" spans="1:8" x14ac:dyDescent="0.25">
      <c r="A5" s="83">
        <v>1</v>
      </c>
      <c r="B5" s="84" t="s">
        <v>578</v>
      </c>
      <c r="C5" s="92">
        <v>10000</v>
      </c>
    </row>
    <row r="6" spans="1:8" x14ac:dyDescent="0.25">
      <c r="A6" s="83">
        <v>2</v>
      </c>
      <c r="B6" s="84" t="s">
        <v>579</v>
      </c>
      <c r="C6" s="92">
        <v>75000</v>
      </c>
    </row>
    <row r="7" spans="1:8" x14ac:dyDescent="0.25">
      <c r="A7" s="83">
        <v>3</v>
      </c>
      <c r="B7" s="84" t="s">
        <v>573</v>
      </c>
      <c r="C7" s="92">
        <v>50000</v>
      </c>
    </row>
    <row r="8" spans="1:8" x14ac:dyDescent="0.25">
      <c r="A8" s="83">
        <v>4</v>
      </c>
      <c r="B8" s="84" t="s">
        <v>580</v>
      </c>
      <c r="C8" s="92">
        <v>50000</v>
      </c>
    </row>
    <row r="9" spans="1:8" x14ac:dyDescent="0.25">
      <c r="A9" s="83">
        <v>5</v>
      </c>
      <c r="B9" s="84" t="s">
        <v>581</v>
      </c>
      <c r="C9" s="92">
        <v>20000</v>
      </c>
    </row>
    <row r="10" spans="1:8" x14ac:dyDescent="0.25">
      <c r="A10" s="83">
        <v>6</v>
      </c>
      <c r="B10" s="84" t="s">
        <v>582</v>
      </c>
      <c r="C10" s="92">
        <v>100000</v>
      </c>
    </row>
    <row r="12" spans="1:8" ht="15.75" x14ac:dyDescent="0.25">
      <c r="C12" s="89">
        <f>SUM(C5:C11)</f>
        <v>305000</v>
      </c>
      <c r="H12" s="87"/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5:L41"/>
  <sheetViews>
    <sheetView workbookViewId="0">
      <selection activeCell="O15" sqref="O15"/>
    </sheetView>
  </sheetViews>
  <sheetFormatPr defaultRowHeight="15" x14ac:dyDescent="0.25"/>
  <cols>
    <col min="2" max="2" width="13.28515625" style="21" customWidth="1"/>
    <col min="3" max="3" width="25.140625" bestFit="1" customWidth="1"/>
    <col min="4" max="4" width="17.5703125" bestFit="1" customWidth="1"/>
    <col min="6" max="6" width="42.28515625" bestFit="1" customWidth="1"/>
    <col min="7" max="7" width="14.85546875" bestFit="1" customWidth="1"/>
    <col min="9" max="9" width="10.5703125" bestFit="1" customWidth="1"/>
  </cols>
  <sheetData>
    <row r="5" spans="1:10" x14ac:dyDescent="0.25">
      <c r="A5" s="22" t="s">
        <v>571</v>
      </c>
      <c r="B5" s="23" t="s">
        <v>31</v>
      </c>
      <c r="C5" s="23" t="s">
        <v>255</v>
      </c>
      <c r="D5" s="22" t="s">
        <v>256</v>
      </c>
      <c r="E5" s="26" t="s">
        <v>259</v>
      </c>
      <c r="F5" s="24" t="s">
        <v>257</v>
      </c>
      <c r="G5" s="22" t="s">
        <v>258</v>
      </c>
      <c r="H5" s="27" t="s">
        <v>260</v>
      </c>
      <c r="I5" s="27" t="s">
        <v>632</v>
      </c>
      <c r="J5" t="s">
        <v>633</v>
      </c>
    </row>
    <row r="6" spans="1:10" x14ac:dyDescent="0.25">
      <c r="A6" s="83">
        <v>41</v>
      </c>
      <c r="B6" s="59" t="s">
        <v>585</v>
      </c>
      <c r="C6" s="59" t="s">
        <v>384</v>
      </c>
      <c r="D6" s="59" t="s">
        <v>587</v>
      </c>
      <c r="E6" s="30" t="s">
        <v>35</v>
      </c>
      <c r="F6" s="59" t="s">
        <v>374</v>
      </c>
      <c r="G6" s="59" t="s">
        <v>584</v>
      </c>
      <c r="H6" s="31">
        <v>16000</v>
      </c>
      <c r="I6" s="31">
        <f>1441+670+4572+785</f>
        <v>7468</v>
      </c>
      <c r="J6">
        <v>16000</v>
      </c>
    </row>
    <row r="7" spans="1:10" x14ac:dyDescent="0.25">
      <c r="A7" s="83">
        <v>42</v>
      </c>
      <c r="B7" s="59" t="s">
        <v>585</v>
      </c>
      <c r="C7" s="93" t="s">
        <v>384</v>
      </c>
      <c r="D7" s="59" t="s">
        <v>587</v>
      </c>
      <c r="E7" s="30" t="s">
        <v>35</v>
      </c>
      <c r="F7" s="59" t="s">
        <v>588</v>
      </c>
      <c r="G7" s="59" t="s">
        <v>572</v>
      </c>
      <c r="H7" s="31">
        <v>18960</v>
      </c>
      <c r="I7" s="31">
        <v>18960</v>
      </c>
      <c r="J7">
        <v>18960</v>
      </c>
    </row>
    <row r="8" spans="1:10" x14ac:dyDescent="0.25">
      <c r="A8" s="83">
        <v>46</v>
      </c>
      <c r="B8" s="59" t="s">
        <v>585</v>
      </c>
      <c r="C8" s="59" t="s">
        <v>384</v>
      </c>
      <c r="D8" s="59" t="s">
        <v>587</v>
      </c>
      <c r="E8" s="30" t="s">
        <v>35</v>
      </c>
      <c r="F8" s="59" t="s">
        <v>589</v>
      </c>
      <c r="G8" s="59" t="s">
        <v>574</v>
      </c>
      <c r="H8" s="31">
        <v>16148</v>
      </c>
      <c r="I8">
        <v>16148</v>
      </c>
      <c r="J8">
        <v>16148</v>
      </c>
    </row>
    <row r="9" spans="1:10" x14ac:dyDescent="0.25">
      <c r="A9" s="83">
        <v>62</v>
      </c>
      <c r="B9" s="59" t="s">
        <v>590</v>
      </c>
      <c r="C9" s="59" t="s">
        <v>384</v>
      </c>
      <c r="D9" s="59" t="s">
        <v>593</v>
      </c>
      <c r="E9" s="30" t="s">
        <v>35</v>
      </c>
      <c r="F9" s="59" t="s">
        <v>594</v>
      </c>
      <c r="G9" s="59" t="s">
        <v>584</v>
      </c>
      <c r="H9" s="31">
        <v>2550</v>
      </c>
      <c r="I9">
        <v>2550</v>
      </c>
      <c r="J9">
        <v>2550</v>
      </c>
    </row>
    <row r="10" spans="1:10" x14ac:dyDescent="0.25">
      <c r="A10" s="83">
        <v>66</v>
      </c>
      <c r="B10" s="59" t="s">
        <v>591</v>
      </c>
      <c r="C10" s="59" t="s">
        <v>384</v>
      </c>
      <c r="D10" s="59" t="s">
        <v>587</v>
      </c>
      <c r="E10" s="30" t="s">
        <v>35</v>
      </c>
      <c r="F10" s="59" t="s">
        <v>596</v>
      </c>
      <c r="G10" s="59" t="s">
        <v>595</v>
      </c>
      <c r="H10" s="31">
        <v>70000</v>
      </c>
      <c r="I10">
        <v>73101</v>
      </c>
      <c r="J10">
        <v>70000</v>
      </c>
    </row>
    <row r="11" spans="1:10" x14ac:dyDescent="0.25">
      <c r="A11" s="85">
        <v>68</v>
      </c>
      <c r="B11" s="59" t="s">
        <v>591</v>
      </c>
      <c r="C11" s="59" t="s">
        <v>384</v>
      </c>
      <c r="D11" s="59" t="s">
        <v>587</v>
      </c>
      <c r="E11" s="30" t="s">
        <v>35</v>
      </c>
      <c r="F11" s="59" t="s">
        <v>596</v>
      </c>
      <c r="G11" s="59" t="s">
        <v>595</v>
      </c>
      <c r="H11" s="31">
        <v>3101</v>
      </c>
      <c r="I11" s="31"/>
      <c r="J11">
        <v>3101</v>
      </c>
    </row>
    <row r="12" spans="1:10" x14ac:dyDescent="0.25">
      <c r="A12" s="83">
        <v>90</v>
      </c>
      <c r="B12" s="59" t="s">
        <v>592</v>
      </c>
      <c r="C12" s="59" t="s">
        <v>384</v>
      </c>
      <c r="D12" s="59" t="s">
        <v>79</v>
      </c>
      <c r="E12" s="30" t="s">
        <v>35</v>
      </c>
      <c r="F12" s="59" t="s">
        <v>598</v>
      </c>
      <c r="G12" s="59" t="s">
        <v>574</v>
      </c>
      <c r="H12" s="31">
        <v>150000</v>
      </c>
      <c r="I12" s="31">
        <v>297360</v>
      </c>
      <c r="J12">
        <v>150000</v>
      </c>
    </row>
    <row r="13" spans="1:10" x14ac:dyDescent="0.25">
      <c r="A13" s="83">
        <v>100</v>
      </c>
      <c r="B13" s="59" t="s">
        <v>592</v>
      </c>
      <c r="C13" s="59" t="s">
        <v>384</v>
      </c>
      <c r="D13" s="59" t="s">
        <v>601</v>
      </c>
      <c r="E13" s="30" t="s">
        <v>35</v>
      </c>
      <c r="F13" s="59" t="s">
        <v>588</v>
      </c>
      <c r="G13" s="59" t="s">
        <v>602</v>
      </c>
      <c r="H13" s="31">
        <v>10000</v>
      </c>
      <c r="I13" s="31"/>
    </row>
    <row r="14" spans="1:10" x14ac:dyDescent="0.25">
      <c r="A14" s="83">
        <v>104</v>
      </c>
      <c r="B14" s="59" t="s">
        <v>592</v>
      </c>
      <c r="C14" s="59" t="s">
        <v>384</v>
      </c>
      <c r="D14" s="59" t="s">
        <v>603</v>
      </c>
      <c r="E14" s="30" t="s">
        <v>35</v>
      </c>
      <c r="F14" s="59" t="s">
        <v>634</v>
      </c>
      <c r="G14" s="59" t="s">
        <v>602</v>
      </c>
      <c r="H14" s="31">
        <v>8390</v>
      </c>
      <c r="I14" s="31">
        <v>8390</v>
      </c>
      <c r="J14">
        <v>8390</v>
      </c>
    </row>
    <row r="15" spans="1:10" x14ac:dyDescent="0.25">
      <c r="A15" s="83">
        <v>115</v>
      </c>
      <c r="B15" s="59" t="s">
        <v>604</v>
      </c>
      <c r="C15" s="59" t="s">
        <v>605</v>
      </c>
      <c r="D15" s="59" t="s">
        <v>606</v>
      </c>
      <c r="E15" s="30" t="s">
        <v>35</v>
      </c>
      <c r="F15" s="59" t="s">
        <v>589</v>
      </c>
      <c r="G15" s="59" t="s">
        <v>574</v>
      </c>
      <c r="H15" s="31">
        <v>5276</v>
      </c>
      <c r="I15">
        <v>5276</v>
      </c>
    </row>
    <row r="16" spans="1:10" x14ac:dyDescent="0.25">
      <c r="A16" s="83">
        <v>122</v>
      </c>
      <c r="B16" s="59" t="s">
        <v>608</v>
      </c>
      <c r="C16" s="59" t="s">
        <v>384</v>
      </c>
      <c r="D16" s="59" t="s">
        <v>587</v>
      </c>
      <c r="E16" s="30" t="s">
        <v>35</v>
      </c>
      <c r="F16" s="59" t="s">
        <v>607</v>
      </c>
      <c r="G16" s="59" t="s">
        <v>390</v>
      </c>
      <c r="H16" s="31">
        <v>24940</v>
      </c>
      <c r="I16" s="31" t="s">
        <v>629</v>
      </c>
      <c r="J16">
        <v>24940</v>
      </c>
    </row>
    <row r="17" spans="1:12" x14ac:dyDescent="0.25">
      <c r="A17" s="83">
        <v>142</v>
      </c>
      <c r="B17" s="59" t="s">
        <v>609</v>
      </c>
      <c r="C17" s="59" t="s">
        <v>384</v>
      </c>
      <c r="D17" s="59" t="s">
        <v>587</v>
      </c>
      <c r="E17" s="30" t="s">
        <v>35</v>
      </c>
      <c r="F17" s="59" t="s">
        <v>589</v>
      </c>
      <c r="G17" s="59" t="s">
        <v>574</v>
      </c>
      <c r="H17" s="31">
        <v>10676</v>
      </c>
      <c r="I17">
        <v>5792</v>
      </c>
    </row>
    <row r="18" spans="1:12" x14ac:dyDescent="0.25">
      <c r="A18" s="83">
        <v>202</v>
      </c>
      <c r="B18" s="59" t="s">
        <v>611</v>
      </c>
      <c r="C18" s="59" t="s">
        <v>620</v>
      </c>
      <c r="D18" s="59" t="s">
        <v>603</v>
      </c>
      <c r="E18" s="30" t="s">
        <v>35</v>
      </c>
      <c r="F18" s="59" t="s">
        <v>634</v>
      </c>
      <c r="G18" s="59" t="s">
        <v>610</v>
      </c>
      <c r="H18" s="31">
        <v>9520</v>
      </c>
      <c r="I18" s="31">
        <v>9520</v>
      </c>
      <c r="J18">
        <v>9520</v>
      </c>
    </row>
    <row r="19" spans="1:12" x14ac:dyDescent="0.25">
      <c r="A19" s="83">
        <v>204</v>
      </c>
      <c r="B19" s="59" t="s">
        <v>611</v>
      </c>
      <c r="C19" s="59" t="s">
        <v>605</v>
      </c>
      <c r="D19" s="59" t="s">
        <v>587</v>
      </c>
      <c r="E19" s="30" t="s">
        <v>35</v>
      </c>
      <c r="F19" s="59" t="s">
        <v>589</v>
      </c>
      <c r="G19" s="59" t="s">
        <v>574</v>
      </c>
      <c r="H19" s="31">
        <v>19072</v>
      </c>
      <c r="I19">
        <v>19072</v>
      </c>
    </row>
    <row r="20" spans="1:12" x14ac:dyDescent="0.25">
      <c r="A20" s="83">
        <v>219</v>
      </c>
      <c r="B20" s="59" t="s">
        <v>621</v>
      </c>
      <c r="C20" s="59" t="s">
        <v>620</v>
      </c>
      <c r="D20" s="59" t="s">
        <v>623</v>
      </c>
      <c r="E20" s="30" t="s">
        <v>35</v>
      </c>
      <c r="F20" s="59" t="s">
        <v>624</v>
      </c>
      <c r="G20" s="59" t="s">
        <v>574</v>
      </c>
      <c r="H20" s="31">
        <v>97360</v>
      </c>
      <c r="I20" s="59"/>
      <c r="J20">
        <v>97360</v>
      </c>
      <c r="L20">
        <f>150000+97360</f>
        <v>247360</v>
      </c>
    </row>
    <row r="21" spans="1:12" x14ac:dyDescent="0.25">
      <c r="A21" s="83">
        <v>220</v>
      </c>
      <c r="B21" s="59" t="s">
        <v>621</v>
      </c>
      <c r="C21" s="59" t="s">
        <v>384</v>
      </c>
      <c r="D21" s="59" t="s">
        <v>587</v>
      </c>
      <c r="E21" s="30" t="s">
        <v>35</v>
      </c>
      <c r="F21" s="59" t="s">
        <v>628</v>
      </c>
      <c r="G21" s="59" t="s">
        <v>574</v>
      </c>
      <c r="H21" s="31">
        <v>5000</v>
      </c>
      <c r="I21">
        <f>4120+888</f>
        <v>5008</v>
      </c>
      <c r="J21">
        <v>5000</v>
      </c>
    </row>
    <row r="22" spans="1:12" x14ac:dyDescent="0.25">
      <c r="A22" s="83">
        <v>16</v>
      </c>
      <c r="B22" s="94">
        <v>45605.730763888889</v>
      </c>
      <c r="C22" s="84" t="s">
        <v>384</v>
      </c>
      <c r="D22" s="84" t="s">
        <v>7</v>
      </c>
      <c r="E22" s="83" t="s">
        <v>35</v>
      </c>
      <c r="F22" s="84" t="s">
        <v>564</v>
      </c>
      <c r="G22" s="84" t="s">
        <v>613</v>
      </c>
      <c r="H22" s="84">
        <v>2500000</v>
      </c>
      <c r="I22">
        <v>1916254</v>
      </c>
      <c r="J22">
        <v>2500000</v>
      </c>
    </row>
    <row r="23" spans="1:12" x14ac:dyDescent="0.25">
      <c r="A23" s="83">
        <v>17</v>
      </c>
      <c r="B23" s="94">
        <v>45605.723194444443</v>
      </c>
      <c r="C23" s="84" t="s">
        <v>384</v>
      </c>
      <c r="D23" s="84" t="s">
        <v>7</v>
      </c>
      <c r="E23" s="83" t="s">
        <v>35</v>
      </c>
      <c r="F23" s="84" t="s">
        <v>617</v>
      </c>
      <c r="G23" s="84" t="s">
        <v>9</v>
      </c>
      <c r="H23" s="84">
        <v>18500</v>
      </c>
    </row>
    <row r="24" spans="1:12" x14ac:dyDescent="0.25">
      <c r="A24" s="83">
        <v>22</v>
      </c>
      <c r="B24" s="94">
        <v>45607.655104166668</v>
      </c>
      <c r="C24" s="84" t="s">
        <v>384</v>
      </c>
      <c r="D24" s="84" t="s">
        <v>7</v>
      </c>
      <c r="E24" s="83" t="s">
        <v>35</v>
      </c>
      <c r="F24" s="84" t="s">
        <v>617</v>
      </c>
      <c r="G24" s="84" t="s">
        <v>612</v>
      </c>
      <c r="H24" s="84">
        <v>25000</v>
      </c>
      <c r="I24">
        <v>28320</v>
      </c>
      <c r="J24">
        <v>25000</v>
      </c>
    </row>
    <row r="25" spans="1:12" x14ac:dyDescent="0.25">
      <c r="A25" s="83">
        <v>32</v>
      </c>
      <c r="B25" s="94">
        <v>45611.373368055552</v>
      </c>
      <c r="C25" s="84" t="s">
        <v>384</v>
      </c>
      <c r="D25" s="84" t="s">
        <v>7</v>
      </c>
      <c r="E25" s="83" t="s">
        <v>35</v>
      </c>
      <c r="F25" s="84" t="s">
        <v>617</v>
      </c>
      <c r="G25" s="84" t="s">
        <v>9</v>
      </c>
      <c r="H25" s="84">
        <v>35000</v>
      </c>
      <c r="I25">
        <v>36168.18</v>
      </c>
      <c r="J25">
        <v>35000</v>
      </c>
    </row>
    <row r="26" spans="1:12" x14ac:dyDescent="0.25">
      <c r="A26" s="83">
        <v>35</v>
      </c>
      <c r="B26" s="94">
        <v>45612.606527777767</v>
      </c>
      <c r="C26" s="84" t="s">
        <v>384</v>
      </c>
      <c r="D26" s="84" t="s">
        <v>7</v>
      </c>
      <c r="E26" s="83" t="s">
        <v>35</v>
      </c>
      <c r="F26" s="84" t="s">
        <v>568</v>
      </c>
      <c r="G26" s="84" t="s">
        <v>613</v>
      </c>
      <c r="H26" s="84">
        <v>100000</v>
      </c>
      <c r="I26">
        <v>25655</v>
      </c>
      <c r="J26">
        <v>100000</v>
      </c>
    </row>
    <row r="27" spans="1:12" x14ac:dyDescent="0.25">
      <c r="A27" s="83">
        <v>36</v>
      </c>
      <c r="B27" s="94">
        <v>45612.606030092589</v>
      </c>
      <c r="C27" s="84" t="s">
        <v>384</v>
      </c>
      <c r="D27" s="84" t="s">
        <v>7</v>
      </c>
      <c r="E27" s="83" t="s">
        <v>35</v>
      </c>
      <c r="F27" s="84" t="s">
        <v>565</v>
      </c>
      <c r="G27" s="84" t="s">
        <v>613</v>
      </c>
      <c r="H27" s="84">
        <v>100000</v>
      </c>
      <c r="I27">
        <f>8860+8860+8357+10387+21840+6490+31217</f>
        <v>96011</v>
      </c>
      <c r="J27">
        <v>100000</v>
      </c>
    </row>
    <row r="28" spans="1:12" x14ac:dyDescent="0.25">
      <c r="A28" s="83">
        <v>39</v>
      </c>
      <c r="B28" s="94">
        <v>45614.807743055557</v>
      </c>
      <c r="C28" s="84" t="s">
        <v>384</v>
      </c>
      <c r="D28" s="84" t="s">
        <v>7</v>
      </c>
      <c r="E28" s="83" t="s">
        <v>35</v>
      </c>
      <c r="F28" s="84" t="s">
        <v>616</v>
      </c>
      <c r="G28" s="84" t="s">
        <v>613</v>
      </c>
      <c r="H28" s="84">
        <v>500000</v>
      </c>
      <c r="I28">
        <v>589560</v>
      </c>
    </row>
    <row r="29" spans="1:12" x14ac:dyDescent="0.25">
      <c r="A29" s="83">
        <v>45</v>
      </c>
      <c r="B29" s="94">
        <v>45615.535219907397</v>
      </c>
      <c r="C29" s="84" t="s">
        <v>384</v>
      </c>
      <c r="D29" s="84" t="s">
        <v>7</v>
      </c>
      <c r="E29" s="83" t="s">
        <v>35</v>
      </c>
      <c r="F29" s="84" t="s">
        <v>618</v>
      </c>
      <c r="G29" s="84" t="s">
        <v>614</v>
      </c>
      <c r="H29" s="84">
        <v>107663</v>
      </c>
      <c r="I29" s="95" t="s">
        <v>631</v>
      </c>
      <c r="J29">
        <v>107663</v>
      </c>
    </row>
    <row r="30" spans="1:12" x14ac:dyDescent="0.25">
      <c r="A30" s="83">
        <v>46</v>
      </c>
      <c r="B30" s="94">
        <v>45615.534942129627</v>
      </c>
      <c r="C30" s="84" t="s">
        <v>384</v>
      </c>
      <c r="D30" s="84" t="s">
        <v>7</v>
      </c>
      <c r="E30" s="83" t="s">
        <v>35</v>
      </c>
      <c r="F30" s="84" t="s">
        <v>617</v>
      </c>
      <c r="G30" s="84" t="s">
        <v>614</v>
      </c>
      <c r="H30" s="84">
        <v>100000</v>
      </c>
      <c r="I30">
        <v>194700</v>
      </c>
      <c r="J30">
        <v>100000</v>
      </c>
    </row>
    <row r="31" spans="1:12" x14ac:dyDescent="0.25">
      <c r="A31" s="83">
        <v>51</v>
      </c>
      <c r="B31" s="94">
        <v>45616.542824074073</v>
      </c>
      <c r="C31" s="84" t="s">
        <v>384</v>
      </c>
      <c r="D31" s="84" t="s">
        <v>7</v>
      </c>
      <c r="E31" s="83" t="s">
        <v>35</v>
      </c>
      <c r="F31" s="84" t="s">
        <v>615</v>
      </c>
      <c r="G31" s="84" t="s">
        <v>614</v>
      </c>
      <c r="H31" s="84">
        <v>40000</v>
      </c>
      <c r="I31">
        <v>54890</v>
      </c>
      <c r="J31">
        <v>40000</v>
      </c>
    </row>
    <row r="32" spans="1:12" x14ac:dyDescent="0.25">
      <c r="A32" s="83">
        <v>52</v>
      </c>
      <c r="B32" s="94">
        <v>45616.543171296304</v>
      </c>
      <c r="C32" s="84" t="s">
        <v>384</v>
      </c>
      <c r="D32" s="84" t="s">
        <v>7</v>
      </c>
      <c r="E32" s="83" t="s">
        <v>35</v>
      </c>
      <c r="F32" s="84" t="s">
        <v>617</v>
      </c>
      <c r="G32" s="84" t="s">
        <v>613</v>
      </c>
      <c r="H32" s="84">
        <v>140000</v>
      </c>
      <c r="I32">
        <v>155767</v>
      </c>
      <c r="J32">
        <v>140000</v>
      </c>
    </row>
    <row r="33" spans="1:10" x14ac:dyDescent="0.25">
      <c r="A33" s="83">
        <v>54</v>
      </c>
      <c r="B33" s="94">
        <v>45618.757152777784</v>
      </c>
      <c r="C33" s="84" t="s">
        <v>384</v>
      </c>
      <c r="D33" s="84" t="s">
        <v>7</v>
      </c>
      <c r="E33" s="83" t="s">
        <v>35</v>
      </c>
      <c r="F33" s="84" t="s">
        <v>616</v>
      </c>
      <c r="G33" s="84" t="s">
        <v>613</v>
      </c>
      <c r="H33" s="84">
        <v>377527</v>
      </c>
      <c r="I33">
        <v>677527</v>
      </c>
      <c r="J33">
        <v>377527</v>
      </c>
    </row>
    <row r="34" spans="1:10" x14ac:dyDescent="0.25">
      <c r="A34" s="83">
        <v>57</v>
      </c>
      <c r="B34" s="94">
        <v>45618.508530092593</v>
      </c>
      <c r="C34" s="84" t="s">
        <v>384</v>
      </c>
      <c r="D34" s="84" t="s">
        <v>7</v>
      </c>
      <c r="E34" s="83" t="s">
        <v>35</v>
      </c>
      <c r="F34" s="84" t="s">
        <v>615</v>
      </c>
      <c r="G34" s="84" t="s">
        <v>614</v>
      </c>
      <c r="H34" s="84">
        <v>14890</v>
      </c>
      <c r="J34">
        <v>14890</v>
      </c>
    </row>
    <row r="35" spans="1:10" x14ac:dyDescent="0.25">
      <c r="A35" s="83">
        <v>65</v>
      </c>
      <c r="B35" s="94">
        <v>45621.719375000001</v>
      </c>
      <c r="C35" s="84" t="s">
        <v>384</v>
      </c>
      <c r="D35" s="84" t="s">
        <v>7</v>
      </c>
      <c r="E35" s="83" t="s">
        <v>35</v>
      </c>
      <c r="F35" s="84" t="s">
        <v>616</v>
      </c>
      <c r="G35" s="84" t="s">
        <v>613</v>
      </c>
      <c r="H35" s="84">
        <v>389460</v>
      </c>
      <c r="J35">
        <v>389460</v>
      </c>
    </row>
    <row r="36" spans="1:10" x14ac:dyDescent="0.25">
      <c r="A36" s="83">
        <v>71</v>
      </c>
      <c r="B36" s="94">
        <v>45622.566631944443</v>
      </c>
      <c r="C36" s="84" t="s">
        <v>384</v>
      </c>
      <c r="D36" s="84" t="s">
        <v>7</v>
      </c>
      <c r="E36" s="83" t="s">
        <v>35</v>
      </c>
      <c r="F36" s="84" t="s">
        <v>615</v>
      </c>
      <c r="G36" s="84" t="s">
        <v>612</v>
      </c>
      <c r="H36" s="84">
        <v>11620</v>
      </c>
      <c r="I36">
        <v>11620</v>
      </c>
      <c r="J36">
        <v>11620</v>
      </c>
    </row>
    <row r="37" spans="1:10" x14ac:dyDescent="0.25">
      <c r="A37" s="83">
        <v>75</v>
      </c>
      <c r="B37" s="94">
        <v>45624.505358796298</v>
      </c>
      <c r="C37" s="84" t="s">
        <v>491</v>
      </c>
      <c r="D37" s="84" t="s">
        <v>7</v>
      </c>
      <c r="E37" s="83" t="s">
        <v>35</v>
      </c>
      <c r="F37" s="84" t="s">
        <v>619</v>
      </c>
      <c r="G37" s="84" t="s">
        <v>390</v>
      </c>
      <c r="H37" s="84">
        <v>30000</v>
      </c>
      <c r="I37">
        <v>23597</v>
      </c>
      <c r="J37">
        <v>30000</v>
      </c>
    </row>
    <row r="38" spans="1:10" x14ac:dyDescent="0.25">
      <c r="A38" s="83">
        <v>78</v>
      </c>
      <c r="B38" s="94">
        <v>45625.650231481479</v>
      </c>
      <c r="C38" s="84" t="s">
        <v>384</v>
      </c>
      <c r="D38" s="84" t="s">
        <v>7</v>
      </c>
      <c r="E38" s="83" t="s">
        <v>35</v>
      </c>
      <c r="F38" s="84" t="s">
        <v>22</v>
      </c>
      <c r="G38" s="84" t="s">
        <v>612</v>
      </c>
      <c r="H38" s="84">
        <v>200000</v>
      </c>
      <c r="I38">
        <v>353650</v>
      </c>
      <c r="J38">
        <v>200000</v>
      </c>
    </row>
    <row r="39" spans="1:10" x14ac:dyDescent="0.25">
      <c r="A39" s="83">
        <v>79</v>
      </c>
      <c r="B39" s="94" t="s">
        <v>625</v>
      </c>
      <c r="C39" s="84" t="s">
        <v>384</v>
      </c>
      <c r="D39" s="84" t="s">
        <v>7</v>
      </c>
      <c r="E39" s="83" t="s">
        <v>35</v>
      </c>
      <c r="F39" s="84" t="s">
        <v>626</v>
      </c>
      <c r="G39" s="84" t="s">
        <v>627</v>
      </c>
      <c r="H39" s="84">
        <v>52547</v>
      </c>
      <c r="I39">
        <v>52547</v>
      </c>
      <c r="J39">
        <v>52547</v>
      </c>
    </row>
    <row r="40" spans="1:10" x14ac:dyDescent="0.25">
      <c r="H40">
        <f>SUM(H22:H39)</f>
        <v>4742207</v>
      </c>
    </row>
    <row r="41" spans="1:10" x14ac:dyDescent="0.25">
      <c r="H41">
        <f>SUBTOTAL(9,H23:H40)</f>
        <v>6984414</v>
      </c>
      <c r="I41">
        <f>SUBTOTAL(9,I23:I40)</f>
        <v>2300012.1799999997</v>
      </c>
      <c r="J41">
        <f>I41-H41</f>
        <v>-4684401.82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workbookViewId="0">
      <selection activeCell="R18" sqref="R18"/>
    </sheetView>
  </sheetViews>
  <sheetFormatPr defaultRowHeight="15" x14ac:dyDescent="0.25"/>
  <cols>
    <col min="5" max="5" width="12.42578125" customWidth="1"/>
  </cols>
  <sheetData>
    <row r="1" spans="1:9" s="71" customFormat="1" ht="15.75" customHeight="1" x14ac:dyDescent="0.2">
      <c r="A1" s="72" t="s">
        <v>302</v>
      </c>
      <c r="B1" s="73" t="s">
        <v>59</v>
      </c>
      <c r="C1" s="73" t="s">
        <v>400</v>
      </c>
      <c r="D1" s="74" t="s">
        <v>43</v>
      </c>
      <c r="E1" s="73" t="s">
        <v>401</v>
      </c>
      <c r="F1" s="73" t="s">
        <v>388</v>
      </c>
      <c r="G1" s="75">
        <v>5000</v>
      </c>
      <c r="H1" s="75"/>
      <c r="I1" s="71" t="s">
        <v>270</v>
      </c>
    </row>
    <row r="2" spans="1:9" s="71" customFormat="1" ht="15.75" customHeight="1" x14ac:dyDescent="0.2">
      <c r="A2" s="72" t="s">
        <v>322</v>
      </c>
      <c r="B2" s="73" t="s">
        <v>59</v>
      </c>
      <c r="C2" s="73" t="s">
        <v>419</v>
      </c>
      <c r="D2" s="74" t="s">
        <v>43</v>
      </c>
      <c r="E2" s="73" t="s">
        <v>17</v>
      </c>
      <c r="F2" s="73" t="s">
        <v>388</v>
      </c>
      <c r="G2" s="75">
        <v>2000</v>
      </c>
      <c r="H2" s="75"/>
      <c r="I2" s="71" t="s">
        <v>270</v>
      </c>
    </row>
    <row r="3" spans="1:9" s="71" customFormat="1" ht="15.75" customHeight="1" x14ac:dyDescent="0.2">
      <c r="A3" s="72" t="s">
        <v>337</v>
      </c>
      <c r="B3" s="73" t="s">
        <v>59</v>
      </c>
      <c r="C3" s="73" t="s">
        <v>428</v>
      </c>
      <c r="D3" s="74" t="s">
        <v>43</v>
      </c>
      <c r="E3" s="73" t="s">
        <v>17</v>
      </c>
      <c r="F3" s="73" t="s">
        <v>388</v>
      </c>
      <c r="G3" s="75">
        <v>2500</v>
      </c>
      <c r="H3" s="75"/>
      <c r="I3" s="71" t="s">
        <v>270</v>
      </c>
    </row>
    <row r="4" spans="1:9" s="71" customFormat="1" ht="15.75" customHeight="1" x14ac:dyDescent="0.2">
      <c r="A4" s="72" t="s">
        <v>345</v>
      </c>
      <c r="B4" s="73" t="s">
        <v>59</v>
      </c>
      <c r="C4" s="73" t="s">
        <v>428</v>
      </c>
      <c r="D4" s="74" t="s">
        <v>43</v>
      </c>
      <c r="E4" s="73" t="s">
        <v>17</v>
      </c>
      <c r="F4" s="73" t="s">
        <v>388</v>
      </c>
      <c r="G4" s="75">
        <v>2000</v>
      </c>
      <c r="H4" s="75"/>
      <c r="I4" s="71" t="s">
        <v>270</v>
      </c>
    </row>
    <row r="5" spans="1:9" s="71" customFormat="1" ht="15.75" customHeight="1" x14ac:dyDescent="0.2">
      <c r="A5" s="72" t="s">
        <v>345</v>
      </c>
      <c r="B5" s="73" t="s">
        <v>59</v>
      </c>
      <c r="C5" s="73" t="s">
        <v>398</v>
      </c>
      <c r="D5" s="74" t="s">
        <v>43</v>
      </c>
      <c r="E5" s="73" t="s">
        <v>17</v>
      </c>
      <c r="F5" s="73" t="s">
        <v>388</v>
      </c>
      <c r="G5" s="75">
        <v>1000</v>
      </c>
      <c r="H5" s="75"/>
      <c r="I5" s="71" t="s">
        <v>270</v>
      </c>
    </row>
    <row r="6" spans="1:9" s="71" customFormat="1" ht="15.75" customHeight="1" x14ac:dyDescent="0.2">
      <c r="A6" s="72" t="s">
        <v>345</v>
      </c>
      <c r="B6" s="73" t="s">
        <v>59</v>
      </c>
      <c r="C6" s="73" t="s">
        <v>398</v>
      </c>
      <c r="D6" s="74" t="s">
        <v>43</v>
      </c>
      <c r="E6" s="73" t="s">
        <v>17</v>
      </c>
      <c r="F6" s="73" t="s">
        <v>388</v>
      </c>
      <c r="G6" s="75">
        <v>2000</v>
      </c>
      <c r="H6" s="75"/>
      <c r="I6" s="71" t="s">
        <v>270</v>
      </c>
    </row>
    <row r="7" spans="1:9" s="71" customFormat="1" ht="15.75" customHeight="1" x14ac:dyDescent="0.2">
      <c r="A7" s="72" t="s">
        <v>351</v>
      </c>
      <c r="B7" s="73" t="s">
        <v>59</v>
      </c>
      <c r="C7" s="73" t="s">
        <v>398</v>
      </c>
      <c r="D7" s="74" t="s">
        <v>43</v>
      </c>
      <c r="E7" s="73" t="s">
        <v>17</v>
      </c>
      <c r="F7" s="73" t="s">
        <v>388</v>
      </c>
      <c r="G7" s="75">
        <v>1500</v>
      </c>
      <c r="H7" s="75"/>
      <c r="I7" s="71" t="s">
        <v>270</v>
      </c>
    </row>
    <row r="8" spans="1:9" s="71" customFormat="1" ht="15.75" customHeight="1" x14ac:dyDescent="0.2">
      <c r="A8" s="72" t="s">
        <v>355</v>
      </c>
      <c r="B8" s="73" t="s">
        <v>59</v>
      </c>
      <c r="C8" s="73" t="s">
        <v>428</v>
      </c>
      <c r="D8" s="74" t="s">
        <v>43</v>
      </c>
      <c r="E8" s="73" t="s">
        <v>17</v>
      </c>
      <c r="F8" s="73" t="s">
        <v>388</v>
      </c>
      <c r="G8" s="75">
        <v>1000</v>
      </c>
      <c r="H8" s="75"/>
      <c r="I8" s="71" t="s">
        <v>270</v>
      </c>
    </row>
    <row r="9" spans="1:9" s="71" customFormat="1" ht="15.75" customHeight="1" x14ac:dyDescent="0.2">
      <c r="A9" s="72" t="s">
        <v>445</v>
      </c>
      <c r="B9" s="73" t="s">
        <v>59</v>
      </c>
      <c r="C9" s="73" t="s">
        <v>400</v>
      </c>
      <c r="D9" s="74" t="s">
        <v>43</v>
      </c>
      <c r="E9" s="73" t="s">
        <v>401</v>
      </c>
      <c r="F9" s="73" t="s">
        <v>388</v>
      </c>
      <c r="G9" s="75">
        <v>3000</v>
      </c>
      <c r="H9" s="75"/>
      <c r="I9" s="76" t="s">
        <v>270</v>
      </c>
    </row>
    <row r="10" spans="1:9" s="71" customFormat="1" ht="15.75" customHeight="1" x14ac:dyDescent="0.2">
      <c r="A10" s="72" t="s">
        <v>547</v>
      </c>
      <c r="B10" s="73" t="s">
        <v>59</v>
      </c>
      <c r="C10" s="73" t="s">
        <v>400</v>
      </c>
      <c r="D10" s="74" t="s">
        <v>43</v>
      </c>
      <c r="E10" s="73" t="s">
        <v>556</v>
      </c>
      <c r="F10" s="73" t="s">
        <v>388</v>
      </c>
      <c r="G10" s="75">
        <v>5000</v>
      </c>
      <c r="H10" s="75" t="s">
        <v>253</v>
      </c>
      <c r="I10" s="76"/>
    </row>
    <row r="11" spans="1:9" s="71" customFormat="1" ht="15.75" customHeight="1" x14ac:dyDescent="0.2">
      <c r="A11" s="72" t="s">
        <v>547</v>
      </c>
      <c r="B11" s="73" t="s">
        <v>59</v>
      </c>
      <c r="C11" s="73" t="s">
        <v>398</v>
      </c>
      <c r="D11" s="74" t="s">
        <v>43</v>
      </c>
      <c r="E11" s="73" t="s">
        <v>398</v>
      </c>
      <c r="F11" s="73" t="s">
        <v>388</v>
      </c>
      <c r="G11" s="75">
        <v>6500</v>
      </c>
      <c r="H11" s="75" t="s">
        <v>253</v>
      </c>
      <c r="I11" s="76"/>
    </row>
    <row r="12" spans="1:9" s="71" customFormat="1" ht="15.75" customHeight="1" x14ac:dyDescent="0.2">
      <c r="A12" s="72" t="s">
        <v>547</v>
      </c>
      <c r="B12" s="73" t="s">
        <v>59</v>
      </c>
      <c r="C12" s="73" t="s">
        <v>548</v>
      </c>
      <c r="D12" s="74" t="s">
        <v>43</v>
      </c>
      <c r="E12" s="73" t="s">
        <v>557</v>
      </c>
      <c r="F12" s="73" t="s">
        <v>388</v>
      </c>
      <c r="G12" s="75">
        <v>1000</v>
      </c>
      <c r="H12" s="75" t="s">
        <v>253</v>
      </c>
      <c r="I12" s="76"/>
    </row>
    <row r="13" spans="1:9" s="71" customFormat="1" ht="15.75" customHeight="1" x14ac:dyDescent="0.2">
      <c r="A13" s="72" t="s">
        <v>550</v>
      </c>
      <c r="B13" s="73" t="s">
        <v>59</v>
      </c>
      <c r="C13" s="73" t="s">
        <v>548</v>
      </c>
      <c r="D13" s="74" t="s">
        <v>43</v>
      </c>
      <c r="E13" s="73" t="s">
        <v>557</v>
      </c>
      <c r="F13" s="73" t="s">
        <v>388</v>
      </c>
      <c r="G13" s="75">
        <v>1000</v>
      </c>
      <c r="H13" s="75" t="s">
        <v>253</v>
      </c>
      <c r="I13" s="78">
        <v>50000</v>
      </c>
    </row>
    <row r="14" spans="1:9" s="71" customFormat="1" ht="15.75" customHeight="1" x14ac:dyDescent="0.2">
      <c r="A14" s="72" t="s">
        <v>550</v>
      </c>
      <c r="B14" s="73" t="s">
        <v>59</v>
      </c>
      <c r="C14" s="73" t="s">
        <v>400</v>
      </c>
      <c r="D14" s="74" t="s">
        <v>43</v>
      </c>
      <c r="E14" s="73" t="s">
        <v>556</v>
      </c>
      <c r="F14" s="73" t="s">
        <v>388</v>
      </c>
      <c r="G14" s="75">
        <v>15000</v>
      </c>
      <c r="H14" s="75" t="s">
        <v>253</v>
      </c>
      <c r="I14" s="76"/>
    </row>
    <row r="15" spans="1:9" s="71" customFormat="1" ht="15.75" customHeight="1" x14ac:dyDescent="0.2">
      <c r="A15" s="72" t="s">
        <v>551</v>
      </c>
      <c r="B15" s="73" t="s">
        <v>59</v>
      </c>
      <c r="C15" s="73" t="s">
        <v>552</v>
      </c>
      <c r="D15" s="74" t="s">
        <v>43</v>
      </c>
      <c r="E15" s="73" t="s">
        <v>12</v>
      </c>
      <c r="F15" s="73" t="s">
        <v>388</v>
      </c>
      <c r="G15" s="75">
        <v>6000</v>
      </c>
      <c r="H15" s="75" t="s">
        <v>253</v>
      </c>
      <c r="I15" s="76"/>
    </row>
    <row r="16" spans="1:9" s="71" customFormat="1" ht="15.75" customHeight="1" x14ac:dyDescent="0.2">
      <c r="A16" s="72" t="s">
        <v>551</v>
      </c>
      <c r="B16" s="73" t="s">
        <v>59</v>
      </c>
      <c r="C16" s="73" t="s">
        <v>546</v>
      </c>
      <c r="D16" s="74" t="s">
        <v>43</v>
      </c>
      <c r="E16" s="73" t="s">
        <v>557</v>
      </c>
      <c r="F16" s="73" t="s">
        <v>388</v>
      </c>
      <c r="G16" s="75">
        <v>1000</v>
      </c>
      <c r="H16" s="75" t="s">
        <v>253</v>
      </c>
      <c r="I16" s="7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4"/>
  <sheetViews>
    <sheetView workbookViewId="0">
      <selection activeCell="N10" sqref="N10"/>
    </sheetView>
  </sheetViews>
  <sheetFormatPr defaultRowHeight="15" x14ac:dyDescent="0.25"/>
  <cols>
    <col min="1" max="1" width="11.28515625" customWidth="1"/>
    <col min="2" max="2" width="21.42578125" bestFit="1" customWidth="1"/>
    <col min="3" max="3" width="18" bestFit="1" customWidth="1"/>
    <col min="5" max="5" width="14.85546875" bestFit="1" customWidth="1"/>
    <col min="6" max="6" width="12.5703125" bestFit="1" customWidth="1"/>
  </cols>
  <sheetData>
    <row r="1" spans="1:9" s="71" customFormat="1" ht="15.75" customHeight="1" x14ac:dyDescent="0.2">
      <c r="A1" s="72" t="s">
        <v>268</v>
      </c>
      <c r="B1" s="73" t="s">
        <v>230</v>
      </c>
      <c r="C1" s="73" t="s">
        <v>79</v>
      </c>
      <c r="D1" s="74" t="s">
        <v>220</v>
      </c>
      <c r="E1" s="73" t="s">
        <v>377</v>
      </c>
      <c r="F1" s="73" t="s">
        <v>262</v>
      </c>
      <c r="G1" s="75">
        <v>4000</v>
      </c>
      <c r="H1" s="75"/>
      <c r="I1" s="71" t="s">
        <v>270</v>
      </c>
    </row>
    <row r="2" spans="1:9" s="71" customFormat="1" ht="15.75" customHeight="1" x14ac:dyDescent="0.2">
      <c r="A2" s="72" t="s">
        <v>286</v>
      </c>
      <c r="B2" s="73" t="s">
        <v>230</v>
      </c>
      <c r="C2" s="73" t="s">
        <v>79</v>
      </c>
      <c r="D2" s="74" t="s">
        <v>220</v>
      </c>
      <c r="E2" s="73" t="s">
        <v>219</v>
      </c>
      <c r="F2" s="73" t="s">
        <v>84</v>
      </c>
      <c r="G2" s="75">
        <v>20000</v>
      </c>
      <c r="H2" s="75"/>
      <c r="I2" s="71" t="s">
        <v>270</v>
      </c>
    </row>
    <row r="3" spans="1:9" s="71" customFormat="1" ht="15.75" customHeight="1" x14ac:dyDescent="0.2">
      <c r="A3" s="72" t="s">
        <v>292</v>
      </c>
      <c r="B3" s="73" t="s">
        <v>230</v>
      </c>
      <c r="C3" s="73" t="s">
        <v>79</v>
      </c>
      <c r="D3" s="74" t="s">
        <v>220</v>
      </c>
      <c r="E3" s="73" t="s">
        <v>377</v>
      </c>
      <c r="F3" s="73" t="s">
        <v>262</v>
      </c>
      <c r="G3" s="75">
        <v>3800</v>
      </c>
      <c r="H3" s="75"/>
      <c r="I3" s="71" t="s">
        <v>270</v>
      </c>
    </row>
    <row r="4" spans="1:9" s="71" customFormat="1" ht="15.75" customHeight="1" x14ac:dyDescent="0.2">
      <c r="A4" s="72" t="s">
        <v>292</v>
      </c>
      <c r="B4" s="73" t="s">
        <v>230</v>
      </c>
      <c r="C4" s="73" t="s">
        <v>79</v>
      </c>
      <c r="D4" s="74" t="s">
        <v>220</v>
      </c>
      <c r="E4" s="73" t="s">
        <v>12</v>
      </c>
      <c r="F4" s="73" t="s">
        <v>262</v>
      </c>
      <c r="G4" s="75">
        <v>2000</v>
      </c>
      <c r="H4" s="75"/>
      <c r="I4" s="71" t="s">
        <v>270</v>
      </c>
    </row>
    <row r="5" spans="1:9" s="71" customFormat="1" ht="15.75" customHeight="1" x14ac:dyDescent="0.2">
      <c r="A5" s="72" t="s">
        <v>302</v>
      </c>
      <c r="B5" s="73" t="s">
        <v>230</v>
      </c>
      <c r="C5" s="73" t="s">
        <v>79</v>
      </c>
      <c r="D5" s="74" t="s">
        <v>220</v>
      </c>
      <c r="E5" s="73" t="s">
        <v>377</v>
      </c>
      <c r="F5" s="73" t="s">
        <v>262</v>
      </c>
      <c r="G5" s="75">
        <v>4200</v>
      </c>
      <c r="H5" s="75"/>
      <c r="I5" s="71" t="s">
        <v>270</v>
      </c>
    </row>
    <row r="6" spans="1:9" s="71" customFormat="1" ht="15.75" customHeight="1" x14ac:dyDescent="0.2">
      <c r="A6" s="72" t="s">
        <v>544</v>
      </c>
      <c r="B6" s="73" t="s">
        <v>230</v>
      </c>
      <c r="C6" s="73" t="s">
        <v>79</v>
      </c>
      <c r="D6" s="74" t="s">
        <v>220</v>
      </c>
      <c r="E6" s="73" t="s">
        <v>555</v>
      </c>
      <c r="F6" s="73" t="s">
        <v>84</v>
      </c>
      <c r="G6" s="75">
        <v>55000</v>
      </c>
      <c r="H6" s="75" t="s">
        <v>253</v>
      </c>
      <c r="I6" s="77">
        <v>68000</v>
      </c>
    </row>
    <row r="7" spans="1:9" s="71" customFormat="1" ht="12" x14ac:dyDescent="0.2">
      <c r="A7" s="79">
        <v>45448.849189814813</v>
      </c>
      <c r="B7" s="80" t="s">
        <v>542</v>
      </c>
      <c r="C7" s="80" t="s">
        <v>79</v>
      </c>
      <c r="D7" s="81" t="s">
        <v>220</v>
      </c>
      <c r="E7" s="81" t="s">
        <v>248</v>
      </c>
      <c r="F7" s="81" t="s">
        <v>18</v>
      </c>
      <c r="G7" s="82">
        <v>50000</v>
      </c>
      <c r="H7" s="81" t="s">
        <v>253</v>
      </c>
    </row>
    <row r="9" spans="1:9" x14ac:dyDescent="0.25">
      <c r="G9">
        <f>SUM(G1:G8)</f>
        <v>139000</v>
      </c>
    </row>
    <row r="10" spans="1:9" x14ac:dyDescent="0.25">
      <c r="A10" s="72" t="s">
        <v>268</v>
      </c>
      <c r="B10" s="73" t="s">
        <v>230</v>
      </c>
      <c r="C10" s="73" t="s">
        <v>81</v>
      </c>
      <c r="D10" s="74" t="s">
        <v>220</v>
      </c>
      <c r="E10" s="73" t="s">
        <v>103</v>
      </c>
      <c r="F10" s="73" t="s">
        <v>387</v>
      </c>
      <c r="G10" s="75">
        <v>2750</v>
      </c>
      <c r="H10" s="75"/>
    </row>
    <row r="11" spans="1:9" x14ac:dyDescent="0.25">
      <c r="A11" s="72" t="s">
        <v>532</v>
      </c>
      <c r="B11" s="73" t="s">
        <v>230</v>
      </c>
      <c r="C11" s="73" t="s">
        <v>81</v>
      </c>
      <c r="D11" s="74" t="s">
        <v>220</v>
      </c>
      <c r="E11" s="73" t="s">
        <v>541</v>
      </c>
      <c r="F11" s="73" t="s">
        <v>262</v>
      </c>
      <c r="G11" s="75">
        <v>10750</v>
      </c>
      <c r="H11" s="75"/>
    </row>
    <row r="12" spans="1:9" x14ac:dyDescent="0.25">
      <c r="A12" s="72" t="s">
        <v>544</v>
      </c>
      <c r="B12" s="73" t="s">
        <v>230</v>
      </c>
      <c r="C12" s="73" t="s">
        <v>543</v>
      </c>
      <c r="D12" s="74" t="s">
        <v>220</v>
      </c>
      <c r="E12" s="73" t="s">
        <v>541</v>
      </c>
      <c r="F12" s="73" t="s">
        <v>84</v>
      </c>
      <c r="G12" s="75">
        <v>10000</v>
      </c>
      <c r="H12" s="75" t="s">
        <v>253</v>
      </c>
    </row>
    <row r="13" spans="1:9" x14ac:dyDescent="0.25">
      <c r="A13" s="72" t="s">
        <v>544</v>
      </c>
      <c r="B13" s="73" t="s">
        <v>230</v>
      </c>
      <c r="C13" s="73" t="s">
        <v>545</v>
      </c>
      <c r="D13" s="74" t="s">
        <v>220</v>
      </c>
      <c r="E13" s="73" t="s">
        <v>545</v>
      </c>
      <c r="F13" s="73" t="s">
        <v>84</v>
      </c>
      <c r="G13" s="75">
        <v>2850</v>
      </c>
      <c r="H13" s="75" t="s">
        <v>253</v>
      </c>
    </row>
    <row r="14" spans="1:9" x14ac:dyDescent="0.25">
      <c r="A14" s="72" t="s">
        <v>547</v>
      </c>
      <c r="B14" s="73" t="s">
        <v>230</v>
      </c>
      <c r="C14" s="73" t="s">
        <v>81</v>
      </c>
      <c r="D14" s="74" t="s">
        <v>220</v>
      </c>
      <c r="E14" s="73" t="s">
        <v>382</v>
      </c>
      <c r="F14" s="73" t="s">
        <v>84</v>
      </c>
      <c r="G14" s="75">
        <v>16000</v>
      </c>
      <c r="H14" s="75" t="s">
        <v>253</v>
      </c>
    </row>
    <row r="15" spans="1:9" x14ac:dyDescent="0.25">
      <c r="A15" s="72" t="s">
        <v>551</v>
      </c>
      <c r="B15" s="73" t="s">
        <v>230</v>
      </c>
      <c r="C15" s="73" t="s">
        <v>81</v>
      </c>
      <c r="D15" s="74" t="s">
        <v>220</v>
      </c>
      <c r="E15" s="73" t="s">
        <v>28</v>
      </c>
      <c r="F15" s="73" t="s">
        <v>84</v>
      </c>
      <c r="G15" s="75">
        <v>18500</v>
      </c>
      <c r="H15" s="75" t="s">
        <v>253</v>
      </c>
    </row>
    <row r="16" spans="1:9" x14ac:dyDescent="0.25">
      <c r="G16">
        <f>SUM(G10:G15)</f>
        <v>60850</v>
      </c>
    </row>
    <row r="18" spans="1:8" x14ac:dyDescent="0.25">
      <c r="A18" s="72" t="s">
        <v>292</v>
      </c>
      <c r="B18" s="73" t="s">
        <v>59</v>
      </c>
      <c r="C18" s="73" t="s">
        <v>378</v>
      </c>
      <c r="D18" s="74" t="s">
        <v>43</v>
      </c>
      <c r="E18" s="73" t="s">
        <v>397</v>
      </c>
      <c r="F18" s="73" t="s">
        <v>84</v>
      </c>
      <c r="G18" s="75">
        <v>375</v>
      </c>
      <c r="H18" s="75"/>
    </row>
    <row r="19" spans="1:8" x14ac:dyDescent="0.25">
      <c r="A19" s="72" t="s">
        <v>329</v>
      </c>
      <c r="B19" s="73" t="s">
        <v>59</v>
      </c>
      <c r="C19" s="73" t="s">
        <v>428</v>
      </c>
      <c r="D19" s="74" t="s">
        <v>43</v>
      </c>
      <c r="E19" s="73" t="s">
        <v>429</v>
      </c>
      <c r="F19" s="73" t="s">
        <v>84</v>
      </c>
      <c r="G19" s="75">
        <v>1000</v>
      </c>
      <c r="H19" s="75"/>
    </row>
    <row r="20" spans="1:8" x14ac:dyDescent="0.25">
      <c r="A20" s="72" t="s">
        <v>337</v>
      </c>
      <c r="B20" s="73" t="s">
        <v>59</v>
      </c>
      <c r="C20" s="73" t="s">
        <v>433</v>
      </c>
      <c r="D20" s="74" t="s">
        <v>43</v>
      </c>
      <c r="E20" s="73" t="s">
        <v>12</v>
      </c>
      <c r="F20" s="73" t="s">
        <v>84</v>
      </c>
      <c r="G20" s="75">
        <v>800</v>
      </c>
      <c r="H20" s="75"/>
    </row>
    <row r="21" spans="1:8" x14ac:dyDescent="0.25">
      <c r="A21" s="72" t="s">
        <v>358</v>
      </c>
      <c r="B21" s="73" t="s">
        <v>59</v>
      </c>
      <c r="C21" s="73" t="s">
        <v>204</v>
      </c>
      <c r="D21" s="74" t="s">
        <v>43</v>
      </c>
      <c r="E21" s="73" t="s">
        <v>436</v>
      </c>
      <c r="F21" s="73" t="s">
        <v>84</v>
      </c>
      <c r="G21" s="75">
        <v>300</v>
      </c>
      <c r="H21" s="75"/>
    </row>
    <row r="22" spans="1:8" x14ac:dyDescent="0.25">
      <c r="A22" s="72" t="s">
        <v>358</v>
      </c>
      <c r="B22" s="73" t="s">
        <v>59</v>
      </c>
      <c r="C22" s="73" t="s">
        <v>428</v>
      </c>
      <c r="D22" s="74" t="s">
        <v>43</v>
      </c>
      <c r="E22" s="73" t="s">
        <v>17</v>
      </c>
      <c r="F22" s="73" t="s">
        <v>84</v>
      </c>
      <c r="G22" s="75">
        <v>1000</v>
      </c>
      <c r="H22" s="75"/>
    </row>
    <row r="23" spans="1:8" x14ac:dyDescent="0.25">
      <c r="A23" s="72" t="s">
        <v>358</v>
      </c>
      <c r="B23" s="73" t="s">
        <v>59</v>
      </c>
      <c r="C23" s="73" t="s">
        <v>204</v>
      </c>
      <c r="D23" s="74" t="s">
        <v>43</v>
      </c>
      <c r="E23" s="73" t="s">
        <v>12</v>
      </c>
      <c r="F23" s="73" t="s">
        <v>84</v>
      </c>
      <c r="G23" s="75">
        <v>1000</v>
      </c>
      <c r="H23" s="75"/>
    </row>
    <row r="24" spans="1:8" x14ac:dyDescent="0.25">
      <c r="A24" s="72" t="s">
        <v>440</v>
      </c>
      <c r="B24" s="73" t="s">
        <v>59</v>
      </c>
      <c r="C24" s="73" t="s">
        <v>378</v>
      </c>
      <c r="D24" s="74" t="s">
        <v>43</v>
      </c>
      <c r="E24" s="73" t="s">
        <v>488</v>
      </c>
      <c r="F24" s="73" t="s">
        <v>84</v>
      </c>
      <c r="G24" s="75">
        <v>252</v>
      </c>
      <c r="H24" s="75"/>
    </row>
    <row r="25" spans="1:8" x14ac:dyDescent="0.25">
      <c r="A25" s="72" t="s">
        <v>445</v>
      </c>
      <c r="B25" s="73" t="s">
        <v>59</v>
      </c>
      <c r="C25" s="73" t="s">
        <v>380</v>
      </c>
      <c r="D25" s="74" t="s">
        <v>43</v>
      </c>
      <c r="E25" s="73" t="s">
        <v>489</v>
      </c>
      <c r="F25" s="73" t="s">
        <v>84</v>
      </c>
      <c r="G25" s="75">
        <v>80</v>
      </c>
      <c r="H25" s="75"/>
    </row>
    <row r="26" spans="1:8" x14ac:dyDescent="0.25">
      <c r="A26" s="72" t="s">
        <v>448</v>
      </c>
      <c r="B26" s="73" t="s">
        <v>59</v>
      </c>
      <c r="C26" s="73" t="s">
        <v>435</v>
      </c>
      <c r="D26" s="74" t="s">
        <v>43</v>
      </c>
      <c r="E26" s="73" t="s">
        <v>12</v>
      </c>
      <c r="F26" s="73" t="s">
        <v>84</v>
      </c>
      <c r="G26" s="75">
        <v>2000</v>
      </c>
      <c r="H26" s="75"/>
    </row>
    <row r="27" spans="1:8" x14ac:dyDescent="0.25">
      <c r="A27" s="72" t="s">
        <v>456</v>
      </c>
      <c r="B27" s="73" t="s">
        <v>59</v>
      </c>
      <c r="C27" s="73" t="s">
        <v>417</v>
      </c>
      <c r="D27" s="74" t="s">
        <v>43</v>
      </c>
      <c r="E27" s="73" t="s">
        <v>494</v>
      </c>
      <c r="F27" s="73" t="s">
        <v>84</v>
      </c>
      <c r="G27" s="75">
        <v>80</v>
      </c>
      <c r="H27" s="75"/>
    </row>
    <row r="28" spans="1:8" x14ac:dyDescent="0.25">
      <c r="A28" s="72" t="s">
        <v>458</v>
      </c>
      <c r="B28" s="73" t="s">
        <v>59</v>
      </c>
      <c r="C28" s="73" t="s">
        <v>428</v>
      </c>
      <c r="D28" s="74" t="s">
        <v>43</v>
      </c>
      <c r="E28" s="73" t="s">
        <v>12</v>
      </c>
      <c r="F28" s="73" t="s">
        <v>84</v>
      </c>
      <c r="G28" s="75">
        <v>1000</v>
      </c>
      <c r="H28" s="75"/>
    </row>
    <row r="29" spans="1:8" x14ac:dyDescent="0.25">
      <c r="A29" s="72" t="s">
        <v>468</v>
      </c>
      <c r="B29" s="73" t="s">
        <v>59</v>
      </c>
      <c r="C29" s="73" t="s">
        <v>428</v>
      </c>
      <c r="D29" s="74" t="s">
        <v>43</v>
      </c>
      <c r="E29" s="73" t="s">
        <v>12</v>
      </c>
      <c r="F29" s="73" t="s">
        <v>84</v>
      </c>
      <c r="G29" s="75">
        <v>1000</v>
      </c>
      <c r="H29" s="75"/>
    </row>
    <row r="30" spans="1:8" x14ac:dyDescent="0.25">
      <c r="A30" s="72" t="s">
        <v>509</v>
      </c>
      <c r="B30" s="73" t="s">
        <v>59</v>
      </c>
      <c r="C30" s="73" t="s">
        <v>428</v>
      </c>
      <c r="D30" s="74" t="s">
        <v>43</v>
      </c>
      <c r="E30" s="73" t="s">
        <v>429</v>
      </c>
      <c r="F30" s="73" t="s">
        <v>84</v>
      </c>
      <c r="G30" s="75">
        <v>1000</v>
      </c>
      <c r="H30" s="75"/>
    </row>
    <row r="31" spans="1:8" x14ac:dyDescent="0.25">
      <c r="A31" s="72" t="s">
        <v>516</v>
      </c>
      <c r="B31" s="73" t="s">
        <v>59</v>
      </c>
      <c r="C31" s="73" t="s">
        <v>538</v>
      </c>
      <c r="D31" s="74" t="s">
        <v>43</v>
      </c>
      <c r="E31" s="73" t="s">
        <v>429</v>
      </c>
      <c r="F31" s="73" t="s">
        <v>84</v>
      </c>
      <c r="G31" s="75">
        <v>500</v>
      </c>
      <c r="H31" s="75"/>
    </row>
    <row r="32" spans="1:8" x14ac:dyDescent="0.25">
      <c r="A32" s="72" t="s">
        <v>547</v>
      </c>
      <c r="B32" s="73" t="s">
        <v>59</v>
      </c>
      <c r="C32" s="73" t="s">
        <v>549</v>
      </c>
      <c r="D32" s="74" t="s">
        <v>43</v>
      </c>
      <c r="E32" s="73" t="s">
        <v>557</v>
      </c>
      <c r="F32" s="73" t="s">
        <v>84</v>
      </c>
      <c r="G32" s="75">
        <v>1000</v>
      </c>
      <c r="H32" s="75" t="s">
        <v>253</v>
      </c>
    </row>
    <row r="33" spans="1:8" x14ac:dyDescent="0.25">
      <c r="A33" s="72" t="s">
        <v>551</v>
      </c>
      <c r="B33" s="73" t="s">
        <v>59</v>
      </c>
      <c r="C33" s="73" t="s">
        <v>553</v>
      </c>
      <c r="D33" s="74" t="s">
        <v>43</v>
      </c>
      <c r="E33" s="73" t="s">
        <v>12</v>
      </c>
      <c r="F33" s="73" t="s">
        <v>84</v>
      </c>
      <c r="G33" s="75">
        <v>2000</v>
      </c>
      <c r="H33" s="75" t="s">
        <v>253</v>
      </c>
    </row>
    <row r="34" spans="1:8" x14ac:dyDescent="0.25">
      <c r="G34">
        <f>SUM(G18:G33)</f>
        <v>13387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78"/>
  <sheetViews>
    <sheetView topLeftCell="A79" workbookViewId="0">
      <selection activeCell="C3" sqref="C3"/>
    </sheetView>
  </sheetViews>
  <sheetFormatPr defaultColWidth="9.140625" defaultRowHeight="15" x14ac:dyDescent="0.25"/>
  <cols>
    <col min="1" max="1" width="7.85546875" customWidth="1"/>
    <col min="2" max="2" width="13.42578125" customWidth="1"/>
    <col min="3" max="3" width="24.85546875" style="21" customWidth="1"/>
    <col min="4" max="4" width="33.140625" customWidth="1"/>
    <col min="6" max="6" width="20.28515625" style="21" customWidth="1"/>
    <col min="7" max="7" width="26" style="21" customWidth="1"/>
    <col min="8" max="8" width="9" customWidth="1"/>
    <col min="9" max="9" width="17.5703125" style="21" customWidth="1"/>
  </cols>
  <sheetData>
    <row r="1" spans="1:9" ht="28.5" customHeight="1" x14ac:dyDescent="0.25">
      <c r="A1" s="128">
        <v>45383</v>
      </c>
      <c r="B1" s="129"/>
      <c r="C1" s="129"/>
      <c r="D1" s="129"/>
      <c r="E1" s="129"/>
      <c r="F1" s="129"/>
      <c r="G1" s="129"/>
      <c r="H1" s="130"/>
      <c r="I1" s="129"/>
    </row>
    <row r="2" spans="1:9" x14ac:dyDescent="0.25">
      <c r="A2" s="17" t="s">
        <v>39</v>
      </c>
      <c r="B2" s="17" t="s">
        <v>31</v>
      </c>
      <c r="C2" s="17" t="s">
        <v>0</v>
      </c>
      <c r="D2" s="17" t="s">
        <v>1</v>
      </c>
      <c r="E2" s="17" t="s">
        <v>34</v>
      </c>
      <c r="F2" s="17" t="s">
        <v>2</v>
      </c>
      <c r="G2" s="17" t="s">
        <v>222</v>
      </c>
      <c r="H2" s="18" t="s">
        <v>33</v>
      </c>
      <c r="I2" s="19" t="s">
        <v>3</v>
      </c>
    </row>
    <row r="3" spans="1:9" s="5" customFormat="1" ht="12.75" x14ac:dyDescent="0.2">
      <c r="A3" s="2">
        <v>1</v>
      </c>
      <c r="B3" s="3">
        <v>45384.464247685188</v>
      </c>
      <c r="C3" s="2" t="s">
        <v>4</v>
      </c>
      <c r="D3" s="2" t="s">
        <v>223</v>
      </c>
      <c r="E3" s="2" t="s">
        <v>58</v>
      </c>
      <c r="F3" s="2" t="s">
        <v>13</v>
      </c>
      <c r="G3" s="2" t="s">
        <v>224</v>
      </c>
      <c r="H3" s="13">
        <v>35000</v>
      </c>
      <c r="I3" s="4" t="s">
        <v>6</v>
      </c>
    </row>
    <row r="4" spans="1:9" s="5" customFormat="1" ht="12.75" x14ac:dyDescent="0.2">
      <c r="A4" s="2">
        <f>A3+1</f>
        <v>2</v>
      </c>
      <c r="B4" s="3">
        <v>45385.628240740742</v>
      </c>
      <c r="C4" s="2" t="s">
        <v>21</v>
      </c>
      <c r="D4" s="2" t="s">
        <v>7</v>
      </c>
      <c r="E4" s="2" t="s">
        <v>35</v>
      </c>
      <c r="F4" s="2" t="s">
        <v>8</v>
      </c>
      <c r="G4" s="2" t="s">
        <v>225</v>
      </c>
      <c r="H4" s="13">
        <v>15600</v>
      </c>
      <c r="I4" s="4" t="s">
        <v>6</v>
      </c>
    </row>
    <row r="5" spans="1:9" s="5" customFormat="1" ht="12.75" x14ac:dyDescent="0.2">
      <c r="A5" s="2">
        <f t="shared" ref="A5:A68" si="0">A4+1</f>
        <v>3</v>
      </c>
      <c r="B5" s="3">
        <v>45385.628819444442</v>
      </c>
      <c r="C5" s="2" t="s">
        <v>4</v>
      </c>
      <c r="D5" s="2" t="s">
        <v>5</v>
      </c>
      <c r="E5" s="2" t="s">
        <v>58</v>
      </c>
      <c r="F5" s="2" t="s">
        <v>12</v>
      </c>
      <c r="G5" s="2" t="s">
        <v>224</v>
      </c>
      <c r="H5" s="13">
        <v>5000</v>
      </c>
      <c r="I5" s="4" t="s">
        <v>6</v>
      </c>
    </row>
    <row r="6" spans="1:9" s="5" customFormat="1" ht="12.75" x14ac:dyDescent="0.2">
      <c r="A6" s="2">
        <f t="shared" si="0"/>
        <v>4</v>
      </c>
      <c r="B6" s="3">
        <v>45387.504872685182</v>
      </c>
      <c r="C6" s="2" t="s">
        <v>4</v>
      </c>
      <c r="D6" s="2" t="s">
        <v>223</v>
      </c>
      <c r="E6" s="2" t="s">
        <v>58</v>
      </c>
      <c r="F6" s="2" t="s">
        <v>13</v>
      </c>
      <c r="G6" s="2" t="s">
        <v>223</v>
      </c>
      <c r="H6" s="13">
        <v>15000</v>
      </c>
      <c r="I6" s="4" t="s">
        <v>6</v>
      </c>
    </row>
    <row r="7" spans="1:9" s="5" customFormat="1" ht="12.75" x14ac:dyDescent="0.2">
      <c r="A7" s="2">
        <f t="shared" si="0"/>
        <v>5</v>
      </c>
      <c r="B7" s="3">
        <v>45387.91920138889</v>
      </c>
      <c r="C7" s="2" t="s">
        <v>4</v>
      </c>
      <c r="D7" s="2" t="s">
        <v>5</v>
      </c>
      <c r="E7" s="2" t="s">
        <v>58</v>
      </c>
      <c r="F7" s="2" t="s">
        <v>12</v>
      </c>
      <c r="G7" s="2" t="s">
        <v>224</v>
      </c>
      <c r="H7" s="13">
        <v>30000</v>
      </c>
      <c r="I7" s="4" t="s">
        <v>6</v>
      </c>
    </row>
    <row r="8" spans="1:9" s="5" customFormat="1" ht="12.75" x14ac:dyDescent="0.2">
      <c r="A8" s="2">
        <f t="shared" si="0"/>
        <v>6</v>
      </c>
      <c r="B8" s="3">
        <v>45387.919328703712</v>
      </c>
      <c r="C8" s="2" t="s">
        <v>4</v>
      </c>
      <c r="D8" s="2" t="s">
        <v>5</v>
      </c>
      <c r="E8" s="2" t="s">
        <v>58</v>
      </c>
      <c r="F8" s="2" t="s">
        <v>17</v>
      </c>
      <c r="G8" s="2" t="s">
        <v>224</v>
      </c>
      <c r="H8" s="13">
        <v>25000</v>
      </c>
      <c r="I8" s="4" t="s">
        <v>6</v>
      </c>
    </row>
    <row r="9" spans="1:9" s="5" customFormat="1" ht="12.75" x14ac:dyDescent="0.2">
      <c r="A9" s="2">
        <f t="shared" si="0"/>
        <v>7</v>
      </c>
      <c r="B9" s="3">
        <v>45388.737280092602</v>
      </c>
      <c r="C9" s="2" t="s">
        <v>18</v>
      </c>
      <c r="D9" s="2" t="s">
        <v>7</v>
      </c>
      <c r="E9" s="2" t="s">
        <v>35</v>
      </c>
      <c r="F9" s="2" t="s">
        <v>27</v>
      </c>
      <c r="G9" s="2" t="s">
        <v>18</v>
      </c>
      <c r="H9" s="13">
        <v>500000</v>
      </c>
      <c r="I9" s="4" t="s">
        <v>6</v>
      </c>
    </row>
    <row r="10" spans="1:9" s="5" customFormat="1" ht="12.75" x14ac:dyDescent="0.2">
      <c r="A10" s="2">
        <f t="shared" si="0"/>
        <v>8</v>
      </c>
      <c r="B10" s="3">
        <v>45388.737569444442</v>
      </c>
      <c r="C10" s="2" t="s">
        <v>18</v>
      </c>
      <c r="D10" s="2" t="s">
        <v>7</v>
      </c>
      <c r="E10" s="2" t="s">
        <v>35</v>
      </c>
      <c r="F10" s="2" t="s">
        <v>26</v>
      </c>
      <c r="G10" s="2" t="s">
        <v>18</v>
      </c>
      <c r="H10" s="13">
        <v>84210</v>
      </c>
      <c r="I10" s="4" t="s">
        <v>6</v>
      </c>
    </row>
    <row r="11" spans="1:9" s="5" customFormat="1" ht="12.75" x14ac:dyDescent="0.2">
      <c r="A11" s="2">
        <f t="shared" si="0"/>
        <v>9</v>
      </c>
      <c r="B11" s="3">
        <v>45389.480358796303</v>
      </c>
      <c r="C11" s="2" t="s">
        <v>4</v>
      </c>
      <c r="D11" s="2" t="s">
        <v>223</v>
      </c>
      <c r="E11" s="2" t="s">
        <v>58</v>
      </c>
      <c r="F11" s="2" t="s">
        <v>13</v>
      </c>
      <c r="G11" s="2" t="s">
        <v>223</v>
      </c>
      <c r="H11" s="13">
        <v>15000</v>
      </c>
      <c r="I11" s="4" t="s">
        <v>6</v>
      </c>
    </row>
    <row r="12" spans="1:9" s="5" customFormat="1" ht="12.75" x14ac:dyDescent="0.2">
      <c r="A12" s="2">
        <f t="shared" si="0"/>
        <v>10</v>
      </c>
      <c r="B12" s="3">
        <v>45389.480474537027</v>
      </c>
      <c r="C12" s="2" t="s">
        <v>226</v>
      </c>
      <c r="D12" s="2" t="s">
        <v>10</v>
      </c>
      <c r="E12" s="2" t="s">
        <v>36</v>
      </c>
      <c r="F12" s="2" t="s">
        <v>11</v>
      </c>
      <c r="G12" s="2" t="s">
        <v>104</v>
      </c>
      <c r="H12" s="13">
        <v>10000</v>
      </c>
      <c r="I12" s="4" t="s">
        <v>6</v>
      </c>
    </row>
    <row r="13" spans="1:9" s="5" customFormat="1" ht="12.75" x14ac:dyDescent="0.2">
      <c r="A13" s="2">
        <f t="shared" si="0"/>
        <v>11</v>
      </c>
      <c r="B13" s="3">
        <v>45390.907627314817</v>
      </c>
      <c r="C13" s="2" t="s">
        <v>4</v>
      </c>
      <c r="D13" s="2" t="s">
        <v>5</v>
      </c>
      <c r="E13" s="2" t="s">
        <v>58</v>
      </c>
      <c r="F13" s="2" t="s">
        <v>15</v>
      </c>
      <c r="G13" s="2" t="s">
        <v>224</v>
      </c>
      <c r="H13" s="13">
        <v>30000</v>
      </c>
      <c r="I13" s="4" t="s">
        <v>6</v>
      </c>
    </row>
    <row r="14" spans="1:9" s="5" customFormat="1" ht="12.75" x14ac:dyDescent="0.2">
      <c r="A14" s="2">
        <f t="shared" si="0"/>
        <v>12</v>
      </c>
      <c r="B14" s="3">
        <v>45390.907835648148</v>
      </c>
      <c r="C14" s="2" t="s">
        <v>4</v>
      </c>
      <c r="D14" s="2" t="s">
        <v>5</v>
      </c>
      <c r="E14" s="2" t="s">
        <v>58</v>
      </c>
      <c r="F14" s="2" t="s">
        <v>25</v>
      </c>
      <c r="G14" s="2" t="s">
        <v>224</v>
      </c>
      <c r="H14" s="13">
        <v>35000</v>
      </c>
      <c r="I14" s="4" t="s">
        <v>6</v>
      </c>
    </row>
    <row r="15" spans="1:9" s="5" customFormat="1" ht="12.75" x14ac:dyDescent="0.2">
      <c r="A15" s="2">
        <f t="shared" si="0"/>
        <v>13</v>
      </c>
      <c r="B15" s="3">
        <v>45391.86346064815</v>
      </c>
      <c r="C15" s="2" t="s">
        <v>4</v>
      </c>
      <c r="D15" s="2" t="s">
        <v>23</v>
      </c>
      <c r="E15" s="2" t="s">
        <v>38</v>
      </c>
      <c r="F15" s="2" t="s">
        <v>24</v>
      </c>
      <c r="G15" s="2" t="s">
        <v>224</v>
      </c>
      <c r="H15" s="13">
        <v>19000</v>
      </c>
      <c r="I15" s="4" t="s">
        <v>6</v>
      </c>
    </row>
    <row r="16" spans="1:9" s="5" customFormat="1" ht="12.75" x14ac:dyDescent="0.2">
      <c r="A16" s="2">
        <f t="shared" si="0"/>
        <v>14</v>
      </c>
      <c r="B16" s="3">
        <v>45392.798993055563</v>
      </c>
      <c r="C16" s="2" t="s">
        <v>21</v>
      </c>
      <c r="D16" s="2" t="s">
        <v>7</v>
      </c>
      <c r="E16" s="2" t="s">
        <v>35</v>
      </c>
      <c r="F16" s="2" t="s">
        <v>22</v>
      </c>
      <c r="G16" s="2" t="s">
        <v>225</v>
      </c>
      <c r="H16" s="13">
        <v>198383</v>
      </c>
      <c r="I16" s="4" t="s">
        <v>6</v>
      </c>
    </row>
    <row r="17" spans="1:9" s="5" customFormat="1" ht="12.75" x14ac:dyDescent="0.2">
      <c r="A17" s="2">
        <f t="shared" si="0"/>
        <v>15</v>
      </c>
      <c r="B17" s="3">
        <v>45392.800787037027</v>
      </c>
      <c r="C17" s="2" t="s">
        <v>227</v>
      </c>
      <c r="D17" s="2" t="s">
        <v>10</v>
      </c>
      <c r="E17" s="2" t="s">
        <v>36</v>
      </c>
      <c r="F17" s="2" t="s">
        <v>11</v>
      </c>
      <c r="G17" s="2" t="s">
        <v>228</v>
      </c>
      <c r="H17" s="13">
        <v>10000</v>
      </c>
      <c r="I17" s="4" t="s">
        <v>6</v>
      </c>
    </row>
    <row r="18" spans="1:9" s="5" customFormat="1" ht="12.75" x14ac:dyDescent="0.2">
      <c r="A18" s="2">
        <f t="shared" si="0"/>
        <v>16</v>
      </c>
      <c r="B18" s="3">
        <v>45393.64434027778</v>
      </c>
      <c r="C18" s="2" t="s">
        <v>4</v>
      </c>
      <c r="D18" s="2" t="s">
        <v>223</v>
      </c>
      <c r="E18" s="2" t="s">
        <v>58</v>
      </c>
      <c r="F18" s="2" t="s">
        <v>13</v>
      </c>
      <c r="G18" s="2" t="s">
        <v>223</v>
      </c>
      <c r="H18" s="13">
        <v>30000</v>
      </c>
      <c r="I18" s="4" t="s">
        <v>6</v>
      </c>
    </row>
    <row r="19" spans="1:9" s="5" customFormat="1" ht="12.75" x14ac:dyDescent="0.2">
      <c r="A19" s="2">
        <f t="shared" si="0"/>
        <v>17</v>
      </c>
      <c r="B19" s="3">
        <v>45396.573657407411</v>
      </c>
      <c r="C19" s="2" t="s">
        <v>4</v>
      </c>
      <c r="D19" s="2" t="s">
        <v>5</v>
      </c>
      <c r="E19" s="2" t="s">
        <v>58</v>
      </c>
      <c r="F19" s="2" t="s">
        <v>12</v>
      </c>
      <c r="G19" s="2" t="s">
        <v>224</v>
      </c>
      <c r="H19" s="13">
        <v>10000</v>
      </c>
      <c r="I19" s="4" t="s">
        <v>6</v>
      </c>
    </row>
    <row r="20" spans="1:9" s="5" customFormat="1" ht="12.75" x14ac:dyDescent="0.2">
      <c r="A20" s="2">
        <f t="shared" si="0"/>
        <v>18</v>
      </c>
      <c r="B20" s="3">
        <v>45396.573796296303</v>
      </c>
      <c r="C20" s="2" t="s">
        <v>227</v>
      </c>
      <c r="D20" s="2" t="s">
        <v>10</v>
      </c>
      <c r="E20" s="2" t="s">
        <v>36</v>
      </c>
      <c r="F20" s="2" t="s">
        <v>11</v>
      </c>
      <c r="G20" s="2" t="s">
        <v>228</v>
      </c>
      <c r="H20" s="13">
        <v>15000</v>
      </c>
      <c r="I20" s="4" t="s">
        <v>6</v>
      </c>
    </row>
    <row r="21" spans="1:9" s="5" customFormat="1" ht="12.75" x14ac:dyDescent="0.2">
      <c r="A21" s="2">
        <f t="shared" si="0"/>
        <v>19</v>
      </c>
      <c r="B21" s="3">
        <v>45400.587337962963</v>
      </c>
      <c r="C21" s="2" t="s">
        <v>4</v>
      </c>
      <c r="D21" s="2" t="s">
        <v>5</v>
      </c>
      <c r="E21" s="2" t="s">
        <v>58</v>
      </c>
      <c r="F21" s="2" t="s">
        <v>20</v>
      </c>
      <c r="G21" s="2" t="s">
        <v>224</v>
      </c>
      <c r="H21" s="13">
        <v>30000</v>
      </c>
      <c r="I21" s="4" t="s">
        <v>6</v>
      </c>
    </row>
    <row r="22" spans="1:9" s="5" customFormat="1" ht="12.75" x14ac:dyDescent="0.2">
      <c r="A22" s="2">
        <f t="shared" si="0"/>
        <v>20</v>
      </c>
      <c r="B22" s="3">
        <v>45400.805949074071</v>
      </c>
      <c r="C22" s="2" t="s">
        <v>9</v>
      </c>
      <c r="D22" s="2" t="s">
        <v>10</v>
      </c>
      <c r="E22" s="2" t="s">
        <v>36</v>
      </c>
      <c r="F22" s="2" t="s">
        <v>11</v>
      </c>
      <c r="G22" s="2" t="s">
        <v>228</v>
      </c>
      <c r="H22" s="13">
        <v>75000</v>
      </c>
      <c r="I22" s="4" t="s">
        <v>6</v>
      </c>
    </row>
    <row r="23" spans="1:9" s="5" customFormat="1" ht="12.75" x14ac:dyDescent="0.2">
      <c r="A23" s="2">
        <f t="shared" si="0"/>
        <v>21</v>
      </c>
      <c r="B23" s="3">
        <v>45403.643761574072</v>
      </c>
      <c r="C23" s="2" t="s">
        <v>9</v>
      </c>
      <c r="D23" s="2" t="s">
        <v>10</v>
      </c>
      <c r="E23" s="2" t="s">
        <v>36</v>
      </c>
      <c r="F23" s="2" t="s">
        <v>19</v>
      </c>
      <c r="G23" s="2" t="s">
        <v>228</v>
      </c>
      <c r="H23" s="13">
        <v>10000</v>
      </c>
      <c r="I23" s="4" t="s">
        <v>6</v>
      </c>
    </row>
    <row r="24" spans="1:9" s="5" customFormat="1" ht="12.75" x14ac:dyDescent="0.2">
      <c r="A24" s="2">
        <f t="shared" si="0"/>
        <v>22</v>
      </c>
      <c r="B24" s="3">
        <v>45403.844074074077</v>
      </c>
      <c r="C24" s="2" t="s">
        <v>9</v>
      </c>
      <c r="D24" s="2" t="s">
        <v>10</v>
      </c>
      <c r="E24" s="2" t="s">
        <v>36</v>
      </c>
      <c r="F24" s="2" t="s">
        <v>11</v>
      </c>
      <c r="G24" s="2" t="s">
        <v>228</v>
      </c>
      <c r="H24" s="13">
        <v>5000</v>
      </c>
      <c r="I24" s="4" t="s">
        <v>6</v>
      </c>
    </row>
    <row r="25" spans="1:9" s="5" customFormat="1" ht="12.75" x14ac:dyDescent="0.2">
      <c r="A25" s="2">
        <f t="shared" si="0"/>
        <v>23</v>
      </c>
      <c r="B25" s="3">
        <v>45405.897858796299</v>
      </c>
      <c r="C25" s="2" t="s">
        <v>9</v>
      </c>
      <c r="D25" s="2" t="s">
        <v>10</v>
      </c>
      <c r="E25" s="2" t="s">
        <v>36</v>
      </c>
      <c r="F25" s="2" t="s">
        <v>11</v>
      </c>
      <c r="G25" s="2" t="s">
        <v>228</v>
      </c>
      <c r="H25" s="13">
        <v>50000</v>
      </c>
      <c r="I25" s="4" t="s">
        <v>6</v>
      </c>
    </row>
    <row r="26" spans="1:9" s="5" customFormat="1" ht="12.75" x14ac:dyDescent="0.2">
      <c r="A26" s="2">
        <f t="shared" si="0"/>
        <v>24</v>
      </c>
      <c r="B26" s="3">
        <v>45406.49591435185</v>
      </c>
      <c r="C26" s="2" t="s">
        <v>4</v>
      </c>
      <c r="D26" s="2" t="s">
        <v>5</v>
      </c>
      <c r="E26" s="2" t="s">
        <v>58</v>
      </c>
      <c r="F26" s="2" t="s">
        <v>17</v>
      </c>
      <c r="G26" s="2" t="s">
        <v>224</v>
      </c>
      <c r="H26" s="13">
        <v>30000</v>
      </c>
      <c r="I26" s="4" t="s">
        <v>6</v>
      </c>
    </row>
    <row r="27" spans="1:9" s="5" customFormat="1" ht="12.75" x14ac:dyDescent="0.2">
      <c r="A27" s="2">
        <f t="shared" si="0"/>
        <v>25</v>
      </c>
      <c r="B27" s="3">
        <v>45406.811168981483</v>
      </c>
      <c r="C27" s="2" t="s">
        <v>4</v>
      </c>
      <c r="D27" s="2" t="s">
        <v>5</v>
      </c>
      <c r="E27" s="2" t="s">
        <v>58</v>
      </c>
      <c r="F27" s="2" t="s">
        <v>16</v>
      </c>
      <c r="G27" s="2" t="s">
        <v>224</v>
      </c>
      <c r="H27" s="13">
        <v>10000</v>
      </c>
      <c r="I27" s="4" t="s">
        <v>6</v>
      </c>
    </row>
    <row r="28" spans="1:9" s="5" customFormat="1" ht="12.75" x14ac:dyDescent="0.2">
      <c r="A28" s="2">
        <f t="shared" si="0"/>
        <v>26</v>
      </c>
      <c r="B28" s="3">
        <v>45407.889224537037</v>
      </c>
      <c r="C28" s="2" t="s">
        <v>4</v>
      </c>
      <c r="D28" s="2" t="s">
        <v>5</v>
      </c>
      <c r="E28" s="2" t="s">
        <v>58</v>
      </c>
      <c r="F28" s="2" t="s">
        <v>15</v>
      </c>
      <c r="G28" s="2" t="s">
        <v>224</v>
      </c>
      <c r="H28" s="13">
        <v>10000</v>
      </c>
      <c r="I28" s="4" t="s">
        <v>6</v>
      </c>
    </row>
    <row r="29" spans="1:9" s="5" customFormat="1" ht="12.75" x14ac:dyDescent="0.2">
      <c r="A29" s="2">
        <f t="shared" si="0"/>
        <v>27</v>
      </c>
      <c r="B29" s="3">
        <v>45409.585729166669</v>
      </c>
      <c r="C29" s="2" t="s">
        <v>4</v>
      </c>
      <c r="D29" s="2" t="s">
        <v>5</v>
      </c>
      <c r="E29" s="2" t="s">
        <v>58</v>
      </c>
      <c r="F29" s="2" t="s">
        <v>12</v>
      </c>
      <c r="G29" s="2" t="s">
        <v>224</v>
      </c>
      <c r="H29" s="13">
        <v>10000</v>
      </c>
      <c r="I29" s="4" t="s">
        <v>6</v>
      </c>
    </row>
    <row r="30" spans="1:9" s="5" customFormat="1" ht="12.75" x14ac:dyDescent="0.2">
      <c r="A30" s="2">
        <f t="shared" si="0"/>
        <v>28</v>
      </c>
      <c r="B30" s="3">
        <v>45410.716122685182</v>
      </c>
      <c r="C30" s="2" t="s">
        <v>9</v>
      </c>
      <c r="D30" s="2" t="s">
        <v>10</v>
      </c>
      <c r="E30" s="2" t="s">
        <v>36</v>
      </c>
      <c r="F30" s="2" t="s">
        <v>11</v>
      </c>
      <c r="G30" s="2" t="s">
        <v>228</v>
      </c>
      <c r="H30" s="13">
        <v>15000</v>
      </c>
      <c r="I30" s="4" t="s">
        <v>6</v>
      </c>
    </row>
    <row r="31" spans="1:9" s="5" customFormat="1" ht="12.75" x14ac:dyDescent="0.2">
      <c r="A31" s="2">
        <f t="shared" si="0"/>
        <v>29</v>
      </c>
      <c r="B31" s="3">
        <v>45412.563692129632</v>
      </c>
      <c r="C31" s="2" t="s">
        <v>9</v>
      </c>
      <c r="D31" s="2" t="s">
        <v>7</v>
      </c>
      <c r="E31" s="2" t="s">
        <v>35</v>
      </c>
      <c r="F31" s="2" t="s">
        <v>14</v>
      </c>
      <c r="G31" s="2" t="s">
        <v>14</v>
      </c>
      <c r="H31" s="13">
        <v>25000</v>
      </c>
      <c r="I31" s="4" t="s">
        <v>6</v>
      </c>
    </row>
    <row r="32" spans="1:9" s="5" customFormat="1" ht="12.75" x14ac:dyDescent="0.2">
      <c r="A32" s="2">
        <f t="shared" si="0"/>
        <v>30</v>
      </c>
      <c r="B32" s="3">
        <v>45412.772523148153</v>
      </c>
      <c r="C32" s="2" t="s">
        <v>4</v>
      </c>
      <c r="D32" s="2" t="s">
        <v>223</v>
      </c>
      <c r="E32" s="2" t="s">
        <v>58</v>
      </c>
      <c r="F32" s="2" t="s">
        <v>13</v>
      </c>
      <c r="G32" s="2" t="s">
        <v>223</v>
      </c>
      <c r="H32" s="13">
        <v>30000</v>
      </c>
      <c r="I32" s="4" t="s">
        <v>6</v>
      </c>
    </row>
    <row r="33" spans="1:14" s="5" customFormat="1" ht="12.75" x14ac:dyDescent="0.2">
      <c r="A33" s="2">
        <f t="shared" si="0"/>
        <v>31</v>
      </c>
      <c r="B33" s="3">
        <v>45412.930868055562</v>
      </c>
      <c r="C33" s="2" t="s">
        <v>4</v>
      </c>
      <c r="D33" s="2" t="s">
        <v>5</v>
      </c>
      <c r="E33" s="2" t="s">
        <v>58</v>
      </c>
      <c r="F33" s="2" t="s">
        <v>12</v>
      </c>
      <c r="G33" s="2" t="s">
        <v>224</v>
      </c>
      <c r="H33" s="13">
        <v>20000</v>
      </c>
      <c r="I33" s="4" t="s">
        <v>6</v>
      </c>
    </row>
    <row r="34" spans="1:14" ht="15.75" customHeight="1" x14ac:dyDescent="0.25">
      <c r="A34" s="2">
        <f t="shared" si="0"/>
        <v>32</v>
      </c>
      <c r="B34" s="11" t="s">
        <v>66</v>
      </c>
      <c r="C34" s="9" t="s">
        <v>59</v>
      </c>
      <c r="D34" s="9" t="s">
        <v>59</v>
      </c>
      <c r="E34" s="10" t="s">
        <v>43</v>
      </c>
      <c r="F34" s="9" t="s">
        <v>12</v>
      </c>
      <c r="G34" s="9" t="s">
        <v>60</v>
      </c>
      <c r="H34" s="14">
        <v>1000</v>
      </c>
      <c r="I34" s="9" t="s">
        <v>6</v>
      </c>
    </row>
    <row r="35" spans="1:14" ht="15.75" customHeight="1" x14ac:dyDescent="0.25">
      <c r="A35" s="2">
        <f t="shared" si="0"/>
        <v>33</v>
      </c>
      <c r="B35" s="11" t="s">
        <v>66</v>
      </c>
      <c r="C35" s="9" t="s">
        <v>59</v>
      </c>
      <c r="D35" s="9" t="s">
        <v>61</v>
      </c>
      <c r="E35" s="10" t="s">
        <v>43</v>
      </c>
      <c r="F35" s="9" t="s">
        <v>17</v>
      </c>
      <c r="G35" s="9" t="s">
        <v>60</v>
      </c>
      <c r="H35" s="14">
        <v>2000</v>
      </c>
      <c r="I35" s="9" t="s">
        <v>6</v>
      </c>
    </row>
    <row r="36" spans="1:14" ht="15.75" customHeight="1" x14ac:dyDescent="0.25">
      <c r="A36" s="2">
        <f t="shared" si="0"/>
        <v>34</v>
      </c>
      <c r="B36" s="11" t="s">
        <v>66</v>
      </c>
      <c r="C36" s="9" t="s">
        <v>59</v>
      </c>
      <c r="D36" s="9" t="s">
        <v>61</v>
      </c>
      <c r="E36" s="10" t="s">
        <v>43</v>
      </c>
      <c r="F36" s="9" t="s">
        <v>17</v>
      </c>
      <c r="G36" s="9" t="s">
        <v>60</v>
      </c>
      <c r="H36" s="14">
        <v>2000</v>
      </c>
      <c r="I36" s="9" t="s">
        <v>6</v>
      </c>
    </row>
    <row r="37" spans="1:14" ht="15.75" customHeight="1" x14ac:dyDescent="0.25">
      <c r="A37" s="2">
        <f t="shared" si="0"/>
        <v>35</v>
      </c>
      <c r="B37" s="11" t="s">
        <v>66</v>
      </c>
      <c r="C37" s="9" t="s">
        <v>224</v>
      </c>
      <c r="D37" s="9" t="s">
        <v>63</v>
      </c>
      <c r="E37" s="10" t="s">
        <v>38</v>
      </c>
      <c r="F37" s="9" t="s">
        <v>65</v>
      </c>
      <c r="G37" s="9" t="s">
        <v>224</v>
      </c>
      <c r="H37" s="14">
        <v>100</v>
      </c>
      <c r="I37" s="9" t="s">
        <v>6</v>
      </c>
    </row>
    <row r="38" spans="1:14" ht="15.75" customHeight="1" x14ac:dyDescent="0.25">
      <c r="A38" s="2">
        <f t="shared" si="0"/>
        <v>36</v>
      </c>
      <c r="B38" s="11" t="s">
        <v>66</v>
      </c>
      <c r="C38" s="9" t="s">
        <v>224</v>
      </c>
      <c r="D38" s="9" t="s">
        <v>63</v>
      </c>
      <c r="E38" s="10" t="s">
        <v>38</v>
      </c>
      <c r="F38" s="9" t="s">
        <v>65</v>
      </c>
      <c r="G38" s="9" t="s">
        <v>224</v>
      </c>
      <c r="H38" s="14">
        <v>100</v>
      </c>
      <c r="I38" s="9" t="s">
        <v>6</v>
      </c>
    </row>
    <row r="39" spans="1:14" ht="15.75" customHeight="1" x14ac:dyDescent="0.25">
      <c r="A39" s="2">
        <f t="shared" si="0"/>
        <v>37</v>
      </c>
      <c r="B39" s="11" t="s">
        <v>66</v>
      </c>
      <c r="C39" s="9" t="s">
        <v>59</v>
      </c>
      <c r="D39" s="9" t="s">
        <v>59</v>
      </c>
      <c r="E39" s="10" t="s">
        <v>43</v>
      </c>
      <c r="F39" s="9" t="s">
        <v>17</v>
      </c>
      <c r="G39" s="9" t="s">
        <v>60</v>
      </c>
      <c r="H39" s="14">
        <v>1000</v>
      </c>
      <c r="I39" s="9" t="s">
        <v>6</v>
      </c>
    </row>
    <row r="40" spans="1:14" ht="15.75" customHeight="1" x14ac:dyDescent="0.25">
      <c r="A40" s="2">
        <f t="shared" si="0"/>
        <v>38</v>
      </c>
      <c r="B40" s="11" t="s">
        <v>66</v>
      </c>
      <c r="C40" s="9" t="s">
        <v>7</v>
      </c>
      <c r="D40" s="9" t="s">
        <v>68</v>
      </c>
      <c r="E40" s="10" t="s">
        <v>35</v>
      </c>
      <c r="F40" s="9" t="s">
        <v>69</v>
      </c>
      <c r="G40" s="9" t="s">
        <v>68</v>
      </c>
      <c r="H40" s="14">
        <v>10000</v>
      </c>
      <c r="I40" s="9" t="s">
        <v>6</v>
      </c>
    </row>
    <row r="41" spans="1:14" ht="15.75" customHeight="1" x14ac:dyDescent="0.25">
      <c r="A41" s="2">
        <f t="shared" si="0"/>
        <v>39</v>
      </c>
      <c r="B41" s="11" t="s">
        <v>66</v>
      </c>
      <c r="C41" s="9" t="s">
        <v>7</v>
      </c>
      <c r="D41" s="9" t="s">
        <v>68</v>
      </c>
      <c r="E41" s="10" t="s">
        <v>35</v>
      </c>
      <c r="F41" s="9" t="s">
        <v>69</v>
      </c>
      <c r="G41" s="9" t="s">
        <v>68</v>
      </c>
      <c r="H41" s="14">
        <v>5000</v>
      </c>
      <c r="I41" s="9" t="s">
        <v>6</v>
      </c>
    </row>
    <row r="42" spans="1:14" ht="15.75" customHeight="1" x14ac:dyDescent="0.25">
      <c r="A42" s="2">
        <f t="shared" si="0"/>
        <v>40</v>
      </c>
      <c r="B42" s="11" t="s">
        <v>66</v>
      </c>
      <c r="C42" s="9" t="s">
        <v>224</v>
      </c>
      <c r="D42" s="9" t="s">
        <v>63</v>
      </c>
      <c r="E42" s="10" t="s">
        <v>73</v>
      </c>
      <c r="F42" s="9" t="s">
        <v>74</v>
      </c>
      <c r="G42" s="9" t="s">
        <v>224</v>
      </c>
      <c r="H42" s="14">
        <v>1000</v>
      </c>
      <c r="I42" s="9" t="s">
        <v>6</v>
      </c>
    </row>
    <row r="43" spans="1:14" s="6" customFormat="1" ht="18.75" customHeight="1" x14ac:dyDescent="0.25">
      <c r="A43" s="2">
        <f t="shared" si="0"/>
        <v>41</v>
      </c>
      <c r="B43" s="11" t="s">
        <v>66</v>
      </c>
      <c r="C43" s="9" t="s">
        <v>59</v>
      </c>
      <c r="D43" s="9" t="s">
        <v>197</v>
      </c>
      <c r="E43" s="9" t="s">
        <v>41</v>
      </c>
      <c r="F43" s="12" t="s">
        <v>106</v>
      </c>
      <c r="G43" s="9" t="s">
        <v>228</v>
      </c>
      <c r="H43" s="15">
        <v>10000</v>
      </c>
      <c r="I43" s="9" t="s">
        <v>6</v>
      </c>
      <c r="J43"/>
      <c r="K43"/>
      <c r="L43"/>
      <c r="M43"/>
      <c r="N43"/>
    </row>
    <row r="44" spans="1:14" ht="15.75" customHeight="1" x14ac:dyDescent="0.25">
      <c r="A44" s="2">
        <f t="shared" si="0"/>
        <v>42</v>
      </c>
      <c r="B44" s="11" t="s">
        <v>66</v>
      </c>
      <c r="C44" s="9" t="s">
        <v>224</v>
      </c>
      <c r="D44" s="9" t="s">
        <v>70</v>
      </c>
      <c r="E44" s="9" t="s">
        <v>35</v>
      </c>
      <c r="F44" s="9" t="s">
        <v>72</v>
      </c>
      <c r="G44" s="9" t="s">
        <v>71</v>
      </c>
      <c r="H44" s="14">
        <v>5512</v>
      </c>
      <c r="I44" s="9" t="s">
        <v>6</v>
      </c>
    </row>
    <row r="45" spans="1:14" s="6" customFormat="1" ht="18.75" customHeight="1" x14ac:dyDescent="0.25">
      <c r="A45" s="2">
        <f t="shared" si="0"/>
        <v>43</v>
      </c>
      <c r="B45" s="11" t="s">
        <v>66</v>
      </c>
      <c r="C45" s="9" t="s">
        <v>59</v>
      </c>
      <c r="D45" s="9" t="s">
        <v>59</v>
      </c>
      <c r="E45" s="9" t="s">
        <v>43</v>
      </c>
      <c r="F45" s="12" t="s">
        <v>12</v>
      </c>
      <c r="G45" s="9" t="s">
        <v>30</v>
      </c>
      <c r="H45" s="15">
        <v>1000</v>
      </c>
      <c r="I45" s="9" t="s">
        <v>6</v>
      </c>
      <c r="J45"/>
      <c r="K45"/>
      <c r="L45"/>
      <c r="M45"/>
      <c r="N45"/>
    </row>
    <row r="46" spans="1:14" s="6" customFormat="1" ht="18.75" customHeight="1" x14ac:dyDescent="0.25">
      <c r="A46" s="2">
        <f t="shared" si="0"/>
        <v>44</v>
      </c>
      <c r="B46" s="11" t="s">
        <v>66</v>
      </c>
      <c r="C46" s="9" t="s">
        <v>224</v>
      </c>
      <c r="D46" s="9" t="s">
        <v>198</v>
      </c>
      <c r="E46" s="9" t="s">
        <v>52</v>
      </c>
      <c r="F46" s="12" t="s">
        <v>65</v>
      </c>
      <c r="G46" s="9" t="s">
        <v>224</v>
      </c>
      <c r="H46" s="15">
        <v>20000</v>
      </c>
      <c r="I46" s="9" t="s">
        <v>6</v>
      </c>
      <c r="J46"/>
      <c r="K46"/>
      <c r="L46"/>
      <c r="M46"/>
      <c r="N46"/>
    </row>
    <row r="47" spans="1:14" s="6" customFormat="1" ht="18.75" customHeight="1" x14ac:dyDescent="0.25">
      <c r="A47" s="2">
        <f t="shared" si="0"/>
        <v>45</v>
      </c>
      <c r="B47" s="11" t="s">
        <v>199</v>
      </c>
      <c r="C47" s="9" t="s">
        <v>224</v>
      </c>
      <c r="D47" s="9" t="s">
        <v>198</v>
      </c>
      <c r="E47" s="9" t="s">
        <v>52</v>
      </c>
      <c r="F47" s="12" t="s">
        <v>65</v>
      </c>
      <c r="G47" s="9" t="s">
        <v>224</v>
      </c>
      <c r="H47" s="15">
        <v>20000</v>
      </c>
      <c r="I47" s="9" t="s">
        <v>6</v>
      </c>
      <c r="J47"/>
      <c r="K47"/>
      <c r="L47"/>
      <c r="M47"/>
      <c r="N47"/>
    </row>
    <row r="48" spans="1:14" s="7" customFormat="1" ht="18.75" customHeight="1" x14ac:dyDescent="0.25">
      <c r="A48" s="2">
        <f t="shared" si="0"/>
        <v>46</v>
      </c>
      <c r="B48" s="11" t="s">
        <v>75</v>
      </c>
      <c r="C48" s="9" t="s">
        <v>59</v>
      </c>
      <c r="D48" s="9" t="s">
        <v>59</v>
      </c>
      <c r="E48" s="9" t="s">
        <v>43</v>
      </c>
      <c r="F48" s="12" t="s">
        <v>17</v>
      </c>
      <c r="G48" s="10" t="s">
        <v>60</v>
      </c>
      <c r="H48" s="15">
        <v>3000</v>
      </c>
      <c r="I48" s="9" t="s">
        <v>6</v>
      </c>
      <c r="J48"/>
      <c r="K48"/>
      <c r="L48"/>
      <c r="M48"/>
      <c r="N48"/>
    </row>
    <row r="49" spans="1:14" s="6" customFormat="1" ht="18" customHeight="1" x14ac:dyDescent="0.25">
      <c r="A49" s="2">
        <f t="shared" si="0"/>
        <v>47</v>
      </c>
      <c r="B49" s="11" t="s">
        <v>75</v>
      </c>
      <c r="C49" s="9" t="s">
        <v>224</v>
      </c>
      <c r="D49" s="9" t="s">
        <v>76</v>
      </c>
      <c r="E49" s="9" t="s">
        <v>38</v>
      </c>
      <c r="F49" s="12" t="s">
        <v>65</v>
      </c>
      <c r="G49" s="9" t="s">
        <v>224</v>
      </c>
      <c r="H49" s="15">
        <v>55</v>
      </c>
      <c r="I49" s="9" t="s">
        <v>6</v>
      </c>
      <c r="J49"/>
      <c r="K49"/>
      <c r="L49"/>
      <c r="M49"/>
      <c r="N49"/>
    </row>
    <row r="50" spans="1:14" s="6" customFormat="1" ht="18.75" customHeight="1" x14ac:dyDescent="0.25">
      <c r="A50" s="2">
        <f t="shared" si="0"/>
        <v>48</v>
      </c>
      <c r="B50" s="11" t="s">
        <v>75</v>
      </c>
      <c r="C50" s="9" t="s">
        <v>224</v>
      </c>
      <c r="D50" s="9" t="s">
        <v>76</v>
      </c>
      <c r="E50" s="9" t="s">
        <v>38</v>
      </c>
      <c r="F50" s="12" t="s">
        <v>77</v>
      </c>
      <c r="G50" s="9" t="s">
        <v>224</v>
      </c>
      <c r="H50" s="15">
        <v>60</v>
      </c>
      <c r="I50" s="9" t="s">
        <v>6</v>
      </c>
      <c r="J50"/>
      <c r="K50"/>
      <c r="L50"/>
      <c r="M50"/>
      <c r="N50" s="7"/>
    </row>
    <row r="51" spans="1:14" s="6" customFormat="1" ht="18.75" customHeight="1" x14ac:dyDescent="0.25">
      <c r="A51" s="2">
        <f t="shared" si="0"/>
        <v>49</v>
      </c>
      <c r="B51" s="11" t="s">
        <v>75</v>
      </c>
      <c r="C51" s="9" t="s">
        <v>224</v>
      </c>
      <c r="D51" s="9" t="s">
        <v>78</v>
      </c>
      <c r="E51" s="9" t="s">
        <v>38</v>
      </c>
      <c r="F51" s="12" t="s">
        <v>65</v>
      </c>
      <c r="G51" s="9" t="s">
        <v>224</v>
      </c>
      <c r="H51" s="15">
        <v>2000</v>
      </c>
      <c r="I51" s="9" t="s">
        <v>6</v>
      </c>
      <c r="J51"/>
      <c r="K51"/>
      <c r="L51"/>
    </row>
    <row r="52" spans="1:14" s="6" customFormat="1" ht="18.75" customHeight="1" x14ac:dyDescent="0.25">
      <c r="A52" s="2">
        <f t="shared" si="0"/>
        <v>50</v>
      </c>
      <c r="B52" s="11" t="s">
        <v>75</v>
      </c>
      <c r="C52" s="9" t="s">
        <v>224</v>
      </c>
      <c r="D52" s="9" t="s">
        <v>59</v>
      </c>
      <c r="E52" s="9" t="s">
        <v>38</v>
      </c>
      <c r="F52" s="12" t="s">
        <v>200</v>
      </c>
      <c r="G52" s="9" t="s">
        <v>224</v>
      </c>
      <c r="H52" s="15">
        <v>2000</v>
      </c>
      <c r="I52" s="9" t="s">
        <v>6</v>
      </c>
      <c r="J52"/>
      <c r="K52"/>
      <c r="L52"/>
    </row>
    <row r="53" spans="1:14" s="6" customFormat="1" ht="18.75" customHeight="1" x14ac:dyDescent="0.25">
      <c r="A53" s="2">
        <f t="shared" si="0"/>
        <v>51</v>
      </c>
      <c r="B53" s="11" t="s">
        <v>75</v>
      </c>
      <c r="C53" s="9" t="s">
        <v>59</v>
      </c>
      <c r="D53" s="9" t="s">
        <v>79</v>
      </c>
      <c r="E53" s="9" t="s">
        <v>43</v>
      </c>
      <c r="F53" s="12" t="s">
        <v>80</v>
      </c>
      <c r="G53" s="10" t="s">
        <v>59</v>
      </c>
      <c r="H53" s="15">
        <v>5000</v>
      </c>
      <c r="I53" s="9" t="s">
        <v>6</v>
      </c>
      <c r="J53"/>
      <c r="K53"/>
      <c r="M53" s="7"/>
    </row>
    <row r="54" spans="1:14" s="6" customFormat="1" ht="18.75" customHeight="1" x14ac:dyDescent="0.25">
      <c r="A54" s="2">
        <f t="shared" si="0"/>
        <v>52</v>
      </c>
      <c r="B54" s="11" t="s">
        <v>75</v>
      </c>
      <c r="C54" s="9" t="s">
        <v>59</v>
      </c>
      <c r="D54" s="9" t="s">
        <v>229</v>
      </c>
      <c r="E54" s="9" t="s">
        <v>43</v>
      </c>
      <c r="F54" s="9" t="s">
        <v>82</v>
      </c>
      <c r="G54" s="10" t="s">
        <v>30</v>
      </c>
      <c r="H54" s="15">
        <v>1600</v>
      </c>
      <c r="I54" s="9" t="s">
        <v>6</v>
      </c>
      <c r="J54"/>
      <c r="K54"/>
      <c r="L54" s="7"/>
    </row>
    <row r="55" spans="1:14" s="6" customFormat="1" ht="18.75" customHeight="1" x14ac:dyDescent="0.25">
      <c r="A55" s="2">
        <f t="shared" si="0"/>
        <v>53</v>
      </c>
      <c r="B55" s="11" t="s">
        <v>75</v>
      </c>
      <c r="C55" s="9" t="s">
        <v>224</v>
      </c>
      <c r="D55" s="9" t="s">
        <v>83</v>
      </c>
      <c r="E55" s="9" t="s">
        <v>38</v>
      </c>
      <c r="F55" s="12" t="s">
        <v>85</v>
      </c>
      <c r="G55" s="10" t="s">
        <v>84</v>
      </c>
      <c r="H55" s="15">
        <v>200</v>
      </c>
      <c r="I55" s="9" t="s">
        <v>6</v>
      </c>
      <c r="J55"/>
      <c r="K55"/>
      <c r="L55" s="6" t="s">
        <v>86</v>
      </c>
    </row>
    <row r="56" spans="1:14" s="6" customFormat="1" ht="18.75" customHeight="1" x14ac:dyDescent="0.25">
      <c r="A56" s="2">
        <f t="shared" si="0"/>
        <v>54</v>
      </c>
      <c r="B56" s="11" t="s">
        <v>87</v>
      </c>
      <c r="C56" s="9" t="s">
        <v>224</v>
      </c>
      <c r="D56" s="9" t="s">
        <v>63</v>
      </c>
      <c r="E56" s="9" t="s">
        <v>38</v>
      </c>
      <c r="F56" s="12" t="s">
        <v>65</v>
      </c>
      <c r="G56" s="10" t="s">
        <v>224</v>
      </c>
      <c r="H56" s="15">
        <v>200</v>
      </c>
      <c r="I56" s="9" t="s">
        <v>6</v>
      </c>
      <c r="J56"/>
      <c r="K56"/>
    </row>
    <row r="57" spans="1:14" s="6" customFormat="1" ht="18.75" customHeight="1" x14ac:dyDescent="0.25">
      <c r="A57" s="2">
        <f t="shared" si="0"/>
        <v>55</v>
      </c>
      <c r="B57" s="11" t="s">
        <v>87</v>
      </c>
      <c r="C57" s="9" t="s">
        <v>227</v>
      </c>
      <c r="D57" s="9" t="s">
        <v>88</v>
      </c>
      <c r="E57" s="9" t="s">
        <v>41</v>
      </c>
      <c r="F57" s="12" t="s">
        <v>65</v>
      </c>
      <c r="G57" s="10" t="s">
        <v>228</v>
      </c>
      <c r="H57" s="15">
        <v>480</v>
      </c>
      <c r="I57" s="9" t="s">
        <v>6</v>
      </c>
      <c r="J57"/>
    </row>
    <row r="58" spans="1:14" s="6" customFormat="1" ht="18.75" customHeight="1" x14ac:dyDescent="0.2">
      <c r="A58" s="2">
        <f t="shared" si="0"/>
        <v>56</v>
      </c>
      <c r="B58" s="11" t="s">
        <v>87</v>
      </c>
      <c r="C58" s="9" t="s">
        <v>230</v>
      </c>
      <c r="D58" s="9" t="s">
        <v>89</v>
      </c>
      <c r="E58" s="9" t="s">
        <v>220</v>
      </c>
      <c r="F58" s="12" t="s">
        <v>90</v>
      </c>
      <c r="G58" s="10" t="s">
        <v>84</v>
      </c>
      <c r="H58" s="15">
        <v>3800</v>
      </c>
      <c r="I58" s="9" t="s">
        <v>6</v>
      </c>
    </row>
    <row r="59" spans="1:14" s="6" customFormat="1" ht="18.75" customHeight="1" x14ac:dyDescent="0.2">
      <c r="A59" s="2">
        <f t="shared" si="0"/>
        <v>57</v>
      </c>
      <c r="B59" s="11" t="s">
        <v>87</v>
      </c>
      <c r="C59" s="9" t="s">
        <v>224</v>
      </c>
      <c r="D59" s="9" t="s">
        <v>91</v>
      </c>
      <c r="E59" s="9" t="s">
        <v>38</v>
      </c>
      <c r="F59" s="9" t="s">
        <v>65</v>
      </c>
      <c r="G59" s="10" t="s">
        <v>224</v>
      </c>
      <c r="H59" s="14">
        <v>299.89999999999998</v>
      </c>
      <c r="I59" s="9" t="s">
        <v>6</v>
      </c>
    </row>
    <row r="60" spans="1:14" s="6" customFormat="1" ht="18.75" customHeight="1" x14ac:dyDescent="0.2">
      <c r="A60" s="2">
        <f t="shared" si="0"/>
        <v>58</v>
      </c>
      <c r="B60" s="11" t="s">
        <v>92</v>
      </c>
      <c r="C60" s="9" t="s">
        <v>228</v>
      </c>
      <c r="D60" s="9" t="s">
        <v>93</v>
      </c>
      <c r="E60" s="9" t="s">
        <v>41</v>
      </c>
      <c r="F60" s="11" t="s">
        <v>94</v>
      </c>
      <c r="G60" s="10" t="s">
        <v>84</v>
      </c>
      <c r="H60" s="14">
        <v>3900</v>
      </c>
      <c r="I60" s="9" t="s">
        <v>6</v>
      </c>
    </row>
    <row r="61" spans="1:14" s="6" customFormat="1" ht="18.75" customHeight="1" x14ac:dyDescent="0.2">
      <c r="A61" s="2">
        <f t="shared" si="0"/>
        <v>59</v>
      </c>
      <c r="B61" s="11" t="s">
        <v>92</v>
      </c>
      <c r="C61" s="9" t="s">
        <v>59</v>
      </c>
      <c r="D61" s="9" t="s">
        <v>95</v>
      </c>
      <c r="E61" s="9" t="s">
        <v>43</v>
      </c>
      <c r="F61" s="11" t="s">
        <v>96</v>
      </c>
      <c r="G61" s="10" t="s">
        <v>60</v>
      </c>
      <c r="H61" s="14">
        <v>600</v>
      </c>
      <c r="I61" s="9" t="s">
        <v>6</v>
      </c>
    </row>
    <row r="62" spans="1:14" s="6" customFormat="1" ht="18.75" customHeight="1" x14ac:dyDescent="0.2">
      <c r="A62" s="2">
        <f t="shared" si="0"/>
        <v>60</v>
      </c>
      <c r="B62" s="11" t="s">
        <v>92</v>
      </c>
      <c r="C62" s="9" t="s">
        <v>224</v>
      </c>
      <c r="D62" s="9" t="s">
        <v>98</v>
      </c>
      <c r="E62" s="9" t="s">
        <v>73</v>
      </c>
      <c r="F62" s="11" t="s">
        <v>99</v>
      </c>
      <c r="G62" s="9" t="s">
        <v>224</v>
      </c>
      <c r="H62" s="14">
        <v>100</v>
      </c>
      <c r="I62" s="9" t="s">
        <v>6</v>
      </c>
    </row>
    <row r="63" spans="1:14" s="6" customFormat="1" ht="18.75" customHeight="1" x14ac:dyDescent="0.2">
      <c r="A63" s="2">
        <f t="shared" si="0"/>
        <v>61</v>
      </c>
      <c r="B63" s="11" t="s">
        <v>100</v>
      </c>
      <c r="C63" s="9" t="s">
        <v>224</v>
      </c>
      <c r="D63" s="9" t="s">
        <v>101</v>
      </c>
      <c r="E63" s="9" t="s">
        <v>38</v>
      </c>
      <c r="F63" s="11" t="s">
        <v>102</v>
      </c>
      <c r="G63" s="9" t="s">
        <v>224</v>
      </c>
      <c r="H63" s="14">
        <v>150</v>
      </c>
      <c r="I63" s="9" t="s">
        <v>6</v>
      </c>
      <c r="J63" s="7"/>
    </row>
    <row r="64" spans="1:14" s="6" customFormat="1" ht="18.75" customHeight="1" x14ac:dyDescent="0.2">
      <c r="A64" s="2">
        <f t="shared" si="0"/>
        <v>62</v>
      </c>
      <c r="B64" s="11" t="s">
        <v>100</v>
      </c>
      <c r="C64" s="9" t="s">
        <v>224</v>
      </c>
      <c r="D64" s="9" t="s">
        <v>63</v>
      </c>
      <c r="E64" s="9" t="s">
        <v>38</v>
      </c>
      <c r="F64" s="11" t="s">
        <v>65</v>
      </c>
      <c r="G64" s="9" t="s">
        <v>224</v>
      </c>
      <c r="H64" s="14">
        <v>200</v>
      </c>
      <c r="I64" s="9" t="s">
        <v>6</v>
      </c>
    </row>
    <row r="65" spans="1:9" s="6" customFormat="1" ht="18.75" customHeight="1" x14ac:dyDescent="0.2">
      <c r="A65" s="2">
        <f t="shared" si="0"/>
        <v>63</v>
      </c>
      <c r="B65" s="11" t="s">
        <v>100</v>
      </c>
      <c r="C65" s="9" t="s">
        <v>224</v>
      </c>
      <c r="D65" s="9" t="s">
        <v>63</v>
      </c>
      <c r="E65" s="9" t="s">
        <v>38</v>
      </c>
      <c r="F65" s="11" t="s">
        <v>12</v>
      </c>
      <c r="G65" s="9" t="s">
        <v>224</v>
      </c>
      <c r="H65" s="14">
        <v>600</v>
      </c>
      <c r="I65" s="9" t="s">
        <v>6</v>
      </c>
    </row>
    <row r="66" spans="1:9" s="6" customFormat="1" ht="18.75" customHeight="1" x14ac:dyDescent="0.2">
      <c r="A66" s="2">
        <f t="shared" si="0"/>
        <v>64</v>
      </c>
      <c r="B66" s="11" t="s">
        <v>100</v>
      </c>
      <c r="C66" s="9" t="s">
        <v>224</v>
      </c>
      <c r="D66" s="9" t="s">
        <v>63</v>
      </c>
      <c r="E66" s="9" t="s">
        <v>38</v>
      </c>
      <c r="F66" s="11" t="s">
        <v>201</v>
      </c>
      <c r="G66" s="9" t="s">
        <v>224</v>
      </c>
      <c r="H66" s="14">
        <v>50</v>
      </c>
      <c r="I66" s="9" t="s">
        <v>6</v>
      </c>
    </row>
    <row r="67" spans="1:9" s="6" customFormat="1" ht="18.75" customHeight="1" x14ac:dyDescent="0.2">
      <c r="A67" s="2">
        <f t="shared" si="0"/>
        <v>65</v>
      </c>
      <c r="B67" s="11" t="s">
        <v>100</v>
      </c>
      <c r="C67" s="9" t="s">
        <v>224</v>
      </c>
      <c r="D67" s="9" t="s">
        <v>63</v>
      </c>
      <c r="E67" s="9" t="s">
        <v>38</v>
      </c>
      <c r="F67" s="11" t="s">
        <v>85</v>
      </c>
      <c r="G67" s="9" t="s">
        <v>224</v>
      </c>
      <c r="H67" s="14">
        <v>100</v>
      </c>
      <c r="I67" s="9" t="s">
        <v>6</v>
      </c>
    </row>
    <row r="68" spans="1:9" s="6" customFormat="1" ht="18.75" customHeight="1" x14ac:dyDescent="0.2">
      <c r="A68" s="2">
        <f t="shared" si="0"/>
        <v>66</v>
      </c>
      <c r="B68" s="11" t="s">
        <v>100</v>
      </c>
      <c r="C68" s="9" t="s">
        <v>104</v>
      </c>
      <c r="D68" s="9" t="s">
        <v>105</v>
      </c>
      <c r="E68" s="9" t="s">
        <v>36</v>
      </c>
      <c r="F68" s="11" t="s">
        <v>106</v>
      </c>
      <c r="G68" s="9" t="s">
        <v>104</v>
      </c>
      <c r="H68" s="14">
        <v>20000</v>
      </c>
      <c r="I68" s="9" t="s">
        <v>6</v>
      </c>
    </row>
    <row r="69" spans="1:9" s="6" customFormat="1" ht="18.75" customHeight="1" x14ac:dyDescent="0.2">
      <c r="A69" s="2">
        <f t="shared" ref="A69:A132" si="1">A68+1</f>
        <v>67</v>
      </c>
      <c r="B69" s="11" t="s">
        <v>100</v>
      </c>
      <c r="C69" s="9" t="s">
        <v>230</v>
      </c>
      <c r="D69" s="9" t="s">
        <v>229</v>
      </c>
      <c r="E69" s="9" t="s">
        <v>43</v>
      </c>
      <c r="F69" s="9" t="s">
        <v>103</v>
      </c>
      <c r="G69" s="10" t="s">
        <v>60</v>
      </c>
      <c r="H69" s="14">
        <v>2450</v>
      </c>
      <c r="I69" s="9" t="s">
        <v>6</v>
      </c>
    </row>
    <row r="70" spans="1:9" s="6" customFormat="1" ht="18.75" customHeight="1" x14ac:dyDescent="0.2">
      <c r="A70" s="2">
        <f t="shared" si="1"/>
        <v>68</v>
      </c>
      <c r="B70" s="11" t="s">
        <v>100</v>
      </c>
      <c r="C70" s="9" t="s">
        <v>7</v>
      </c>
      <c r="D70" s="9" t="s">
        <v>107</v>
      </c>
      <c r="E70" s="9" t="s">
        <v>35</v>
      </c>
      <c r="F70" s="11" t="s">
        <v>108</v>
      </c>
      <c r="G70" s="9" t="s">
        <v>231</v>
      </c>
      <c r="H70" s="14">
        <v>5000</v>
      </c>
      <c r="I70" s="9" t="s">
        <v>6</v>
      </c>
    </row>
    <row r="71" spans="1:9" s="6" customFormat="1" ht="18.75" customHeight="1" x14ac:dyDescent="0.2">
      <c r="A71" s="2">
        <f t="shared" si="1"/>
        <v>69</v>
      </c>
      <c r="B71" s="11" t="s">
        <v>100</v>
      </c>
      <c r="C71" s="9" t="s">
        <v>227</v>
      </c>
      <c r="D71" s="9" t="s">
        <v>114</v>
      </c>
      <c r="E71" s="9" t="s">
        <v>41</v>
      </c>
      <c r="F71" s="11" t="s">
        <v>115</v>
      </c>
      <c r="G71" s="9" t="s">
        <v>228</v>
      </c>
      <c r="H71" s="14">
        <v>1200</v>
      </c>
      <c r="I71" s="9" t="s">
        <v>6</v>
      </c>
    </row>
    <row r="72" spans="1:9" s="6" customFormat="1" ht="18.75" customHeight="1" x14ac:dyDescent="0.2">
      <c r="A72" s="2">
        <f t="shared" si="1"/>
        <v>70</v>
      </c>
      <c r="B72" s="11" t="s">
        <v>100</v>
      </c>
      <c r="C72" s="9" t="s">
        <v>227</v>
      </c>
      <c r="D72" s="9" t="s">
        <v>110</v>
      </c>
      <c r="E72" s="9" t="s">
        <v>41</v>
      </c>
      <c r="F72" s="11" t="s">
        <v>111</v>
      </c>
      <c r="G72" s="9" t="s">
        <v>228</v>
      </c>
      <c r="H72" s="14">
        <v>2000</v>
      </c>
      <c r="I72" s="9" t="s">
        <v>6</v>
      </c>
    </row>
    <row r="73" spans="1:9" s="6" customFormat="1" ht="18.75" customHeight="1" x14ac:dyDescent="0.2">
      <c r="A73" s="2">
        <f t="shared" si="1"/>
        <v>71</v>
      </c>
      <c r="B73" s="11" t="s">
        <v>100</v>
      </c>
      <c r="C73" s="9" t="s">
        <v>227</v>
      </c>
      <c r="D73" s="9" t="s">
        <v>112</v>
      </c>
      <c r="E73" s="9" t="s">
        <v>41</v>
      </c>
      <c r="F73" s="11" t="s">
        <v>221</v>
      </c>
      <c r="G73" s="9" t="s">
        <v>228</v>
      </c>
      <c r="H73" s="14">
        <v>700</v>
      </c>
      <c r="I73" s="9" t="s">
        <v>6</v>
      </c>
    </row>
    <row r="74" spans="1:9" s="6" customFormat="1" ht="18.75" customHeight="1" x14ac:dyDescent="0.2">
      <c r="A74" s="2">
        <f t="shared" si="1"/>
        <v>72</v>
      </c>
      <c r="B74" s="11" t="s">
        <v>100</v>
      </c>
      <c r="C74" s="9" t="s">
        <v>230</v>
      </c>
      <c r="D74" s="9" t="s">
        <v>79</v>
      </c>
      <c r="E74" s="9" t="s">
        <v>220</v>
      </c>
      <c r="F74" s="11" t="s">
        <v>109</v>
      </c>
      <c r="G74" s="9" t="s">
        <v>84</v>
      </c>
      <c r="H74" s="14">
        <v>4900</v>
      </c>
      <c r="I74" s="9" t="s">
        <v>6</v>
      </c>
    </row>
    <row r="75" spans="1:9" s="6" customFormat="1" ht="18.75" customHeight="1" x14ac:dyDescent="0.2">
      <c r="A75" s="2">
        <f t="shared" si="1"/>
        <v>73</v>
      </c>
      <c r="B75" s="11" t="s">
        <v>116</v>
      </c>
      <c r="C75" s="9" t="s">
        <v>227</v>
      </c>
      <c r="D75" s="9" t="s">
        <v>117</v>
      </c>
      <c r="E75" s="9" t="s">
        <v>41</v>
      </c>
      <c r="F75" s="11" t="s">
        <v>12</v>
      </c>
      <c r="G75" s="9" t="s">
        <v>228</v>
      </c>
      <c r="H75" s="14">
        <v>500</v>
      </c>
      <c r="I75" s="9" t="s">
        <v>6</v>
      </c>
    </row>
    <row r="76" spans="1:9" s="6" customFormat="1" ht="18.75" customHeight="1" x14ac:dyDescent="0.2">
      <c r="A76" s="2">
        <f t="shared" si="1"/>
        <v>74</v>
      </c>
      <c r="B76" s="11" t="s">
        <v>118</v>
      </c>
      <c r="C76" s="9" t="s">
        <v>7</v>
      </c>
      <c r="D76" s="9" t="s">
        <v>119</v>
      </c>
      <c r="E76" s="10" t="s">
        <v>35</v>
      </c>
      <c r="F76" s="9" t="s">
        <v>120</v>
      </c>
      <c r="G76" s="9" t="s">
        <v>84</v>
      </c>
      <c r="H76" s="14">
        <v>1882</v>
      </c>
      <c r="I76" s="9" t="s">
        <v>6</v>
      </c>
    </row>
    <row r="77" spans="1:9" s="6" customFormat="1" ht="18.75" customHeight="1" x14ac:dyDescent="0.2">
      <c r="A77" s="2">
        <f t="shared" si="1"/>
        <v>75</v>
      </c>
      <c r="B77" s="11" t="s">
        <v>118</v>
      </c>
      <c r="C77" s="9" t="s">
        <v>224</v>
      </c>
      <c r="D77" s="9" t="s">
        <v>63</v>
      </c>
      <c r="E77" s="9" t="s">
        <v>38</v>
      </c>
      <c r="F77" s="11" t="s">
        <v>121</v>
      </c>
      <c r="G77" s="9" t="s">
        <v>224</v>
      </c>
      <c r="H77" s="14">
        <v>446</v>
      </c>
      <c r="I77" s="9" t="s">
        <v>6</v>
      </c>
    </row>
    <row r="78" spans="1:9" s="6" customFormat="1" ht="18.75" customHeight="1" x14ac:dyDescent="0.2">
      <c r="A78" s="2">
        <f t="shared" si="1"/>
        <v>76</v>
      </c>
      <c r="B78" s="11" t="s">
        <v>122</v>
      </c>
      <c r="C78" s="9" t="s">
        <v>224</v>
      </c>
      <c r="D78" s="9" t="s">
        <v>70</v>
      </c>
      <c r="E78" s="9" t="s">
        <v>38</v>
      </c>
      <c r="F78" s="11" t="s">
        <v>123</v>
      </c>
      <c r="G78" s="9" t="s">
        <v>224</v>
      </c>
      <c r="H78" s="14">
        <v>120</v>
      </c>
      <c r="I78" s="9" t="s">
        <v>6</v>
      </c>
    </row>
    <row r="79" spans="1:9" s="6" customFormat="1" ht="18.75" customHeight="1" x14ac:dyDescent="0.2">
      <c r="A79" s="2">
        <f t="shared" si="1"/>
        <v>77</v>
      </c>
      <c r="B79" s="11" t="s">
        <v>122</v>
      </c>
      <c r="C79" s="9" t="s">
        <v>230</v>
      </c>
      <c r="D79" s="9" t="s">
        <v>89</v>
      </c>
      <c r="E79" s="9" t="s">
        <v>220</v>
      </c>
      <c r="F79" s="9" t="s">
        <v>126</v>
      </c>
      <c r="G79" s="10" t="s">
        <v>84</v>
      </c>
      <c r="H79" s="14">
        <v>2000</v>
      </c>
      <c r="I79" s="9" t="s">
        <v>6</v>
      </c>
    </row>
    <row r="80" spans="1:9" s="6" customFormat="1" ht="18.75" customHeight="1" x14ac:dyDescent="0.2">
      <c r="A80" s="2">
        <f t="shared" si="1"/>
        <v>78</v>
      </c>
      <c r="B80" s="11" t="s">
        <v>127</v>
      </c>
      <c r="C80" s="9" t="s">
        <v>224</v>
      </c>
      <c r="D80" s="9" t="s">
        <v>202</v>
      </c>
      <c r="E80" s="9" t="s">
        <v>38</v>
      </c>
      <c r="F80" s="9" t="s">
        <v>203</v>
      </c>
      <c r="G80" s="9" t="s">
        <v>224</v>
      </c>
      <c r="H80" s="14">
        <v>295</v>
      </c>
      <c r="I80" s="9" t="s">
        <v>6</v>
      </c>
    </row>
    <row r="81" spans="1:9" s="6" customFormat="1" ht="18.75" customHeight="1" x14ac:dyDescent="0.2">
      <c r="A81" s="2">
        <f t="shared" si="1"/>
        <v>79</v>
      </c>
      <c r="B81" s="11" t="s">
        <v>127</v>
      </c>
      <c r="C81" s="9" t="s">
        <v>224</v>
      </c>
      <c r="D81" s="9" t="s">
        <v>204</v>
      </c>
      <c r="E81" s="9" t="s">
        <v>38</v>
      </c>
      <c r="F81" s="9" t="s">
        <v>205</v>
      </c>
      <c r="G81" s="9" t="s">
        <v>224</v>
      </c>
      <c r="H81" s="14">
        <v>165</v>
      </c>
      <c r="I81" s="9" t="s">
        <v>6</v>
      </c>
    </row>
    <row r="82" spans="1:9" s="6" customFormat="1" ht="18.75" customHeight="1" x14ac:dyDescent="0.2">
      <c r="A82" s="2">
        <f t="shared" si="1"/>
        <v>80</v>
      </c>
      <c r="B82" s="11" t="s">
        <v>122</v>
      </c>
      <c r="C82" s="9" t="s">
        <v>228</v>
      </c>
      <c r="D82" s="9" t="s">
        <v>124</v>
      </c>
      <c r="E82" s="9" t="s">
        <v>41</v>
      </c>
      <c r="F82" s="9" t="s">
        <v>125</v>
      </c>
      <c r="G82" s="9" t="s">
        <v>228</v>
      </c>
      <c r="H82" s="14">
        <v>2700</v>
      </c>
      <c r="I82" s="9" t="s">
        <v>6</v>
      </c>
    </row>
    <row r="83" spans="1:9" s="6" customFormat="1" ht="18.75" customHeight="1" x14ac:dyDescent="0.2">
      <c r="A83" s="2">
        <f t="shared" si="1"/>
        <v>81</v>
      </c>
      <c r="B83" s="11" t="s">
        <v>127</v>
      </c>
      <c r="C83" s="9" t="s">
        <v>128</v>
      </c>
      <c r="D83" s="9" t="s">
        <v>129</v>
      </c>
      <c r="E83" s="9" t="s">
        <v>41</v>
      </c>
      <c r="F83" s="11" t="s">
        <v>12</v>
      </c>
      <c r="G83" s="9" t="s">
        <v>228</v>
      </c>
      <c r="H83" s="14">
        <v>7500</v>
      </c>
      <c r="I83" s="9" t="s">
        <v>6</v>
      </c>
    </row>
    <row r="84" spans="1:9" s="6" customFormat="1" ht="18.75" customHeight="1" x14ac:dyDescent="0.2">
      <c r="A84" s="2">
        <f t="shared" si="1"/>
        <v>82</v>
      </c>
      <c r="B84" s="11" t="s">
        <v>127</v>
      </c>
      <c r="C84" s="9" t="s">
        <v>7</v>
      </c>
      <c r="D84" s="9" t="s">
        <v>206</v>
      </c>
      <c r="E84" s="9" t="s">
        <v>35</v>
      </c>
      <c r="F84" s="11" t="s">
        <v>207</v>
      </c>
      <c r="G84" s="9" t="s">
        <v>228</v>
      </c>
      <c r="H84" s="14">
        <v>1888</v>
      </c>
      <c r="I84" s="9" t="s">
        <v>6</v>
      </c>
    </row>
    <row r="85" spans="1:9" s="6" customFormat="1" ht="18.75" customHeight="1" x14ac:dyDescent="0.2">
      <c r="A85" s="2">
        <f t="shared" si="1"/>
        <v>83</v>
      </c>
      <c r="B85" s="11" t="s">
        <v>127</v>
      </c>
      <c r="C85" s="9" t="s">
        <v>224</v>
      </c>
      <c r="D85" s="9" t="s">
        <v>208</v>
      </c>
      <c r="E85" s="9" t="s">
        <v>38</v>
      </c>
      <c r="F85" s="11" t="s">
        <v>67</v>
      </c>
      <c r="G85" s="9" t="s">
        <v>224</v>
      </c>
      <c r="H85" s="14">
        <v>19</v>
      </c>
      <c r="I85" s="9" t="s">
        <v>6</v>
      </c>
    </row>
    <row r="86" spans="1:9" s="6" customFormat="1" ht="18.75" customHeight="1" x14ac:dyDescent="0.2">
      <c r="A86" s="2">
        <f t="shared" si="1"/>
        <v>84</v>
      </c>
      <c r="B86" s="11" t="s">
        <v>127</v>
      </c>
      <c r="C86" s="9" t="s">
        <v>59</v>
      </c>
      <c r="D86" s="9" t="s">
        <v>130</v>
      </c>
      <c r="E86" s="9" t="s">
        <v>43</v>
      </c>
      <c r="F86" s="11" t="s">
        <v>17</v>
      </c>
      <c r="G86" s="9" t="s">
        <v>84</v>
      </c>
      <c r="H86" s="14">
        <v>2000</v>
      </c>
      <c r="I86" s="9" t="s">
        <v>6</v>
      </c>
    </row>
    <row r="87" spans="1:9" s="6" customFormat="1" ht="18.75" customHeight="1" x14ac:dyDescent="0.2">
      <c r="A87" s="2">
        <f t="shared" si="1"/>
        <v>85</v>
      </c>
      <c r="B87" s="11" t="s">
        <v>127</v>
      </c>
      <c r="C87" s="9" t="s">
        <v>59</v>
      </c>
      <c r="D87" s="9" t="s">
        <v>130</v>
      </c>
      <c r="E87" s="9" t="s">
        <v>43</v>
      </c>
      <c r="F87" s="11" t="s">
        <v>17</v>
      </c>
      <c r="G87" s="9" t="s">
        <v>84</v>
      </c>
      <c r="H87" s="14">
        <v>3000</v>
      </c>
      <c r="I87" s="9" t="s">
        <v>6</v>
      </c>
    </row>
    <row r="88" spans="1:9" s="6" customFormat="1" ht="17.25" customHeight="1" x14ac:dyDescent="0.2">
      <c r="A88" s="2">
        <f t="shared" si="1"/>
        <v>86</v>
      </c>
      <c r="B88" s="11" t="s">
        <v>127</v>
      </c>
      <c r="C88" s="9" t="s">
        <v>227</v>
      </c>
      <c r="D88" s="9" t="s">
        <v>131</v>
      </c>
      <c r="E88" s="9" t="s">
        <v>41</v>
      </c>
      <c r="F88" s="11" t="s">
        <v>17</v>
      </c>
      <c r="G88" s="9" t="s">
        <v>228</v>
      </c>
      <c r="H88" s="14">
        <v>890</v>
      </c>
      <c r="I88" s="9" t="s">
        <v>6</v>
      </c>
    </row>
    <row r="89" spans="1:9" s="6" customFormat="1" ht="18.75" customHeight="1" x14ac:dyDescent="0.2">
      <c r="A89" s="2">
        <f t="shared" si="1"/>
        <v>87</v>
      </c>
      <c r="B89" s="11" t="s">
        <v>132</v>
      </c>
      <c r="C89" s="9" t="s">
        <v>59</v>
      </c>
      <c r="D89" s="9" t="s">
        <v>59</v>
      </c>
      <c r="E89" s="9" t="s">
        <v>43</v>
      </c>
      <c r="F89" s="9" t="s">
        <v>17</v>
      </c>
      <c r="G89" s="9" t="s">
        <v>84</v>
      </c>
      <c r="H89" s="14">
        <v>2000</v>
      </c>
      <c r="I89" s="9" t="s">
        <v>6</v>
      </c>
    </row>
    <row r="90" spans="1:9" s="6" customFormat="1" ht="18.75" customHeight="1" x14ac:dyDescent="0.2">
      <c r="A90" s="2">
        <f t="shared" si="1"/>
        <v>88</v>
      </c>
      <c r="B90" s="11" t="s">
        <v>133</v>
      </c>
      <c r="C90" s="9" t="s">
        <v>224</v>
      </c>
      <c r="D90" s="9" t="s">
        <v>134</v>
      </c>
      <c r="E90" s="9" t="s">
        <v>38</v>
      </c>
      <c r="F90" s="11" t="s">
        <v>135</v>
      </c>
      <c r="G90" s="9" t="s">
        <v>224</v>
      </c>
      <c r="H90" s="14">
        <v>200.9</v>
      </c>
      <c r="I90" s="9" t="s">
        <v>6</v>
      </c>
    </row>
    <row r="91" spans="1:9" s="6" customFormat="1" ht="18.75" customHeight="1" x14ac:dyDescent="0.2">
      <c r="A91" s="2">
        <f t="shared" si="1"/>
        <v>89</v>
      </c>
      <c r="B91" s="11" t="s">
        <v>133</v>
      </c>
      <c r="C91" s="10" t="s">
        <v>232</v>
      </c>
      <c r="D91" s="10" t="s">
        <v>232</v>
      </c>
      <c r="E91" s="9" t="s">
        <v>41</v>
      </c>
      <c r="F91" s="11" t="s">
        <v>12</v>
      </c>
      <c r="G91" s="10" t="s">
        <v>232</v>
      </c>
      <c r="H91" s="14">
        <v>500</v>
      </c>
      <c r="I91" s="9" t="s">
        <v>6</v>
      </c>
    </row>
    <row r="92" spans="1:9" s="6" customFormat="1" ht="18.75" customHeight="1" x14ac:dyDescent="0.2">
      <c r="A92" s="2">
        <f t="shared" si="1"/>
        <v>90</v>
      </c>
      <c r="B92" s="11" t="s">
        <v>133</v>
      </c>
      <c r="C92" s="10" t="s">
        <v>232</v>
      </c>
      <c r="D92" s="10" t="s">
        <v>232</v>
      </c>
      <c r="E92" s="9" t="s">
        <v>41</v>
      </c>
      <c r="F92" s="11" t="s">
        <v>12</v>
      </c>
      <c r="G92" s="10" t="s">
        <v>232</v>
      </c>
      <c r="H92" s="14">
        <v>50</v>
      </c>
      <c r="I92" s="9" t="s">
        <v>6</v>
      </c>
    </row>
    <row r="93" spans="1:9" s="6" customFormat="1" ht="18.75" customHeight="1" x14ac:dyDescent="0.2">
      <c r="A93" s="2">
        <f t="shared" si="1"/>
        <v>91</v>
      </c>
      <c r="B93" s="11" t="s">
        <v>133</v>
      </c>
      <c r="C93" s="10" t="s">
        <v>59</v>
      </c>
      <c r="D93" s="10" t="s">
        <v>136</v>
      </c>
      <c r="E93" s="9" t="s">
        <v>43</v>
      </c>
      <c r="F93" s="11" t="s">
        <v>82</v>
      </c>
      <c r="G93" s="9" t="s">
        <v>84</v>
      </c>
      <c r="H93" s="14">
        <v>1300</v>
      </c>
      <c r="I93" s="9" t="s">
        <v>6</v>
      </c>
    </row>
    <row r="94" spans="1:9" s="6" customFormat="1" ht="18.75" customHeight="1" x14ac:dyDescent="0.2">
      <c r="A94" s="2">
        <f t="shared" si="1"/>
        <v>92</v>
      </c>
      <c r="B94" s="11" t="s">
        <v>137</v>
      </c>
      <c r="C94" s="9" t="s">
        <v>224</v>
      </c>
      <c r="D94" s="9" t="s">
        <v>83</v>
      </c>
      <c r="E94" s="9" t="s">
        <v>38</v>
      </c>
      <c r="F94" s="11" t="s">
        <v>65</v>
      </c>
      <c r="G94" s="9" t="s">
        <v>84</v>
      </c>
      <c r="H94" s="14">
        <v>70</v>
      </c>
      <c r="I94" s="9" t="s">
        <v>6</v>
      </c>
    </row>
    <row r="95" spans="1:9" s="6" customFormat="1" ht="18.75" customHeight="1" x14ac:dyDescent="0.2">
      <c r="A95" s="2">
        <f t="shared" si="1"/>
        <v>93</v>
      </c>
      <c r="B95" s="11" t="s">
        <v>137</v>
      </c>
      <c r="C95" s="9" t="s">
        <v>224</v>
      </c>
      <c r="D95" s="9" t="s">
        <v>83</v>
      </c>
      <c r="E95" s="9" t="s">
        <v>38</v>
      </c>
      <c r="F95" s="11" t="s">
        <v>65</v>
      </c>
      <c r="G95" s="9" t="s">
        <v>84</v>
      </c>
      <c r="H95" s="14">
        <v>75</v>
      </c>
      <c r="I95" s="9" t="s">
        <v>6</v>
      </c>
    </row>
    <row r="96" spans="1:9" s="6" customFormat="1" ht="18.75" customHeight="1" x14ac:dyDescent="0.2">
      <c r="A96" s="2">
        <f t="shared" si="1"/>
        <v>94</v>
      </c>
      <c r="B96" s="11" t="s">
        <v>137</v>
      </c>
      <c r="C96" s="9" t="s">
        <v>59</v>
      </c>
      <c r="D96" s="9" t="s">
        <v>70</v>
      </c>
      <c r="E96" s="9" t="s">
        <v>43</v>
      </c>
      <c r="F96" s="11" t="s">
        <v>17</v>
      </c>
      <c r="G96" s="9" t="s">
        <v>84</v>
      </c>
      <c r="H96" s="14">
        <v>1000</v>
      </c>
      <c r="I96" s="9" t="s">
        <v>6</v>
      </c>
    </row>
    <row r="97" spans="1:9" s="6" customFormat="1" ht="18.75" customHeight="1" x14ac:dyDescent="0.2">
      <c r="A97" s="2">
        <f t="shared" si="1"/>
        <v>95</v>
      </c>
      <c r="B97" s="11" t="s">
        <v>137</v>
      </c>
      <c r="C97" s="9" t="s">
        <v>230</v>
      </c>
      <c r="D97" s="9" t="s">
        <v>81</v>
      </c>
      <c r="E97" s="9" t="s">
        <v>220</v>
      </c>
      <c r="F97" s="11" t="s">
        <v>103</v>
      </c>
      <c r="G97" s="9" t="s">
        <v>84</v>
      </c>
      <c r="H97" s="14">
        <v>450</v>
      </c>
      <c r="I97" s="9" t="s">
        <v>6</v>
      </c>
    </row>
    <row r="98" spans="1:9" s="6" customFormat="1" ht="18.75" customHeight="1" x14ac:dyDescent="0.2">
      <c r="A98" s="2">
        <f t="shared" si="1"/>
        <v>96</v>
      </c>
      <c r="B98" s="11" t="s">
        <v>137</v>
      </c>
      <c r="C98" s="9" t="s">
        <v>230</v>
      </c>
      <c r="D98" s="10" t="s">
        <v>89</v>
      </c>
      <c r="E98" s="9" t="s">
        <v>220</v>
      </c>
      <c r="F98" s="11" t="s">
        <v>138</v>
      </c>
      <c r="G98" s="9" t="s">
        <v>84</v>
      </c>
      <c r="H98" s="14">
        <v>3800</v>
      </c>
      <c r="I98" s="9" t="s">
        <v>6</v>
      </c>
    </row>
    <row r="99" spans="1:9" s="6" customFormat="1" ht="18.75" customHeight="1" x14ac:dyDescent="0.2">
      <c r="A99" s="2">
        <f t="shared" si="1"/>
        <v>97</v>
      </c>
      <c r="B99" s="11" t="s">
        <v>137</v>
      </c>
      <c r="C99" s="9" t="s">
        <v>227</v>
      </c>
      <c r="D99" s="9" t="s">
        <v>139</v>
      </c>
      <c r="E99" s="9" t="s">
        <v>41</v>
      </c>
      <c r="F99" s="9" t="s">
        <v>17</v>
      </c>
      <c r="G99" s="9" t="s">
        <v>228</v>
      </c>
      <c r="H99" s="14">
        <v>1000</v>
      </c>
      <c r="I99" s="9" t="s">
        <v>6</v>
      </c>
    </row>
    <row r="100" spans="1:9" s="6" customFormat="1" ht="18.75" customHeight="1" x14ac:dyDescent="0.2">
      <c r="A100" s="2">
        <f t="shared" si="1"/>
        <v>98</v>
      </c>
      <c r="B100" s="11" t="s">
        <v>140</v>
      </c>
      <c r="C100" s="9" t="s">
        <v>7</v>
      </c>
      <c r="D100" s="9" t="s">
        <v>141</v>
      </c>
      <c r="E100" s="9" t="s">
        <v>35</v>
      </c>
      <c r="F100" s="11" t="s">
        <v>108</v>
      </c>
      <c r="G100" s="9" t="s">
        <v>60</v>
      </c>
      <c r="H100" s="14">
        <v>10000</v>
      </c>
      <c r="I100" s="9" t="s">
        <v>6</v>
      </c>
    </row>
    <row r="101" spans="1:9" s="6" customFormat="1" ht="18.75" customHeight="1" x14ac:dyDescent="0.2">
      <c r="A101" s="2">
        <f t="shared" si="1"/>
        <v>99</v>
      </c>
      <c r="B101" s="11" t="s">
        <v>140</v>
      </c>
      <c r="C101" s="9" t="s">
        <v>230</v>
      </c>
      <c r="D101" s="9" t="s">
        <v>79</v>
      </c>
      <c r="E101" s="9" t="s">
        <v>220</v>
      </c>
      <c r="F101" s="9" t="s">
        <v>142</v>
      </c>
      <c r="G101" s="9" t="s">
        <v>84</v>
      </c>
      <c r="H101" s="14">
        <v>5000</v>
      </c>
      <c r="I101" s="9" t="s">
        <v>6</v>
      </c>
    </row>
    <row r="102" spans="1:9" s="6" customFormat="1" ht="18.75" customHeight="1" x14ac:dyDescent="0.2">
      <c r="A102" s="2">
        <f t="shared" si="1"/>
        <v>100</v>
      </c>
      <c r="B102" s="11" t="s">
        <v>140</v>
      </c>
      <c r="C102" s="9" t="s">
        <v>227</v>
      </c>
      <c r="D102" s="9" t="s">
        <v>114</v>
      </c>
      <c r="E102" s="9" t="s">
        <v>41</v>
      </c>
      <c r="F102" s="11" t="s">
        <v>115</v>
      </c>
      <c r="G102" s="9" t="s">
        <v>228</v>
      </c>
      <c r="H102" s="14">
        <v>738</v>
      </c>
      <c r="I102" s="9" t="s">
        <v>6</v>
      </c>
    </row>
    <row r="103" spans="1:9" s="6" customFormat="1" ht="18.75" customHeight="1" x14ac:dyDescent="0.2">
      <c r="A103" s="2">
        <f t="shared" si="1"/>
        <v>101</v>
      </c>
      <c r="B103" s="11" t="s">
        <v>143</v>
      </c>
      <c r="C103" s="10" t="s">
        <v>224</v>
      </c>
      <c r="D103" s="9" t="s">
        <v>63</v>
      </c>
      <c r="E103" s="9" t="s">
        <v>38</v>
      </c>
      <c r="F103" s="11" t="s">
        <v>144</v>
      </c>
      <c r="G103" s="9" t="s">
        <v>224</v>
      </c>
      <c r="H103" s="14">
        <v>459</v>
      </c>
      <c r="I103" s="9" t="s">
        <v>6</v>
      </c>
    </row>
    <row r="104" spans="1:9" s="6" customFormat="1" ht="18.75" customHeight="1" x14ac:dyDescent="0.2">
      <c r="A104" s="2">
        <f t="shared" si="1"/>
        <v>102</v>
      </c>
      <c r="B104" s="11" t="s">
        <v>143</v>
      </c>
      <c r="C104" s="10" t="s">
        <v>228</v>
      </c>
      <c r="D104" s="10" t="s">
        <v>145</v>
      </c>
      <c r="E104" s="9" t="s">
        <v>41</v>
      </c>
      <c r="F104" s="11" t="s">
        <v>146</v>
      </c>
      <c r="G104" s="9" t="s">
        <v>228</v>
      </c>
      <c r="H104" s="14">
        <v>8528</v>
      </c>
      <c r="I104" s="9" t="s">
        <v>6</v>
      </c>
    </row>
    <row r="105" spans="1:9" s="6" customFormat="1" ht="18.75" customHeight="1" x14ac:dyDescent="0.2">
      <c r="A105" s="2">
        <f t="shared" si="1"/>
        <v>103</v>
      </c>
      <c r="B105" s="11" t="s">
        <v>143</v>
      </c>
      <c r="C105" s="10" t="s">
        <v>224</v>
      </c>
      <c r="D105" s="10" t="s">
        <v>147</v>
      </c>
      <c r="E105" s="9" t="s">
        <v>38</v>
      </c>
      <c r="F105" s="11" t="s">
        <v>148</v>
      </c>
      <c r="G105" s="9" t="s">
        <v>224</v>
      </c>
      <c r="H105" s="14">
        <v>39</v>
      </c>
      <c r="I105" s="9" t="s">
        <v>6</v>
      </c>
    </row>
    <row r="106" spans="1:9" s="6" customFormat="1" ht="18.75" customHeight="1" x14ac:dyDescent="0.2">
      <c r="A106" s="2">
        <f t="shared" si="1"/>
        <v>104</v>
      </c>
      <c r="B106" s="11" t="s">
        <v>143</v>
      </c>
      <c r="C106" s="10" t="s">
        <v>228</v>
      </c>
      <c r="D106" s="10" t="s">
        <v>149</v>
      </c>
      <c r="E106" s="10" t="s">
        <v>41</v>
      </c>
      <c r="F106" s="9" t="s">
        <v>111</v>
      </c>
      <c r="G106" s="9" t="s">
        <v>228</v>
      </c>
      <c r="H106" s="14">
        <v>500</v>
      </c>
      <c r="I106" s="9" t="s">
        <v>6</v>
      </c>
    </row>
    <row r="107" spans="1:9" s="6" customFormat="1" ht="18.75" customHeight="1" x14ac:dyDescent="0.2">
      <c r="A107" s="2">
        <f t="shared" si="1"/>
        <v>105</v>
      </c>
      <c r="B107" s="11" t="s">
        <v>143</v>
      </c>
      <c r="C107" s="9" t="s">
        <v>59</v>
      </c>
      <c r="D107" s="9" t="s">
        <v>70</v>
      </c>
      <c r="E107" s="10" t="s">
        <v>43</v>
      </c>
      <c r="F107" s="9" t="s">
        <v>17</v>
      </c>
      <c r="G107" s="9" t="s">
        <v>60</v>
      </c>
      <c r="H107" s="14">
        <v>1000</v>
      </c>
      <c r="I107" s="9" t="s">
        <v>6</v>
      </c>
    </row>
    <row r="108" spans="1:9" s="6" customFormat="1" ht="18.75" customHeight="1" x14ac:dyDescent="0.2">
      <c r="A108" s="2">
        <f t="shared" si="1"/>
        <v>106</v>
      </c>
      <c r="B108" s="11" t="s">
        <v>143</v>
      </c>
      <c r="C108" s="9" t="s">
        <v>224</v>
      </c>
      <c r="D108" s="9" t="s">
        <v>70</v>
      </c>
      <c r="E108" s="10" t="s">
        <v>38</v>
      </c>
      <c r="F108" s="9" t="s">
        <v>65</v>
      </c>
      <c r="G108" s="9" t="s">
        <v>224</v>
      </c>
      <c r="H108" s="14">
        <v>80</v>
      </c>
      <c r="I108" s="9" t="s">
        <v>6</v>
      </c>
    </row>
    <row r="109" spans="1:9" s="6" customFormat="1" ht="18.75" customHeight="1" x14ac:dyDescent="0.2">
      <c r="A109" s="2">
        <f t="shared" si="1"/>
        <v>107</v>
      </c>
      <c r="B109" s="11" t="s">
        <v>143</v>
      </c>
      <c r="C109" s="9" t="s">
        <v>59</v>
      </c>
      <c r="D109" s="9" t="s">
        <v>150</v>
      </c>
      <c r="E109" s="9" t="s">
        <v>43</v>
      </c>
      <c r="F109" s="12" t="s">
        <v>17</v>
      </c>
      <c r="G109" s="9" t="s">
        <v>60</v>
      </c>
      <c r="H109" s="15">
        <v>2000</v>
      </c>
      <c r="I109" s="9" t="s">
        <v>6</v>
      </c>
    </row>
    <row r="110" spans="1:9" s="6" customFormat="1" ht="18.75" customHeight="1" x14ac:dyDescent="0.2">
      <c r="A110" s="2">
        <f t="shared" si="1"/>
        <v>108</v>
      </c>
      <c r="B110" s="11" t="s">
        <v>151</v>
      </c>
      <c r="C110" s="9" t="s">
        <v>224</v>
      </c>
      <c r="D110" s="9" t="s">
        <v>147</v>
      </c>
      <c r="E110" s="9" t="s">
        <v>38</v>
      </c>
      <c r="F110" s="9" t="s">
        <v>135</v>
      </c>
      <c r="G110" s="9" t="s">
        <v>224</v>
      </c>
      <c r="H110" s="15">
        <v>131</v>
      </c>
      <c r="I110" s="9" t="s">
        <v>6</v>
      </c>
    </row>
    <row r="111" spans="1:9" s="6" customFormat="1" ht="18.75" customHeight="1" x14ac:dyDescent="0.2">
      <c r="A111" s="2">
        <f t="shared" si="1"/>
        <v>109</v>
      </c>
      <c r="B111" s="11" t="s">
        <v>151</v>
      </c>
      <c r="C111" s="9" t="s">
        <v>224</v>
      </c>
      <c r="D111" s="9" t="s">
        <v>153</v>
      </c>
      <c r="E111" s="9" t="s">
        <v>38</v>
      </c>
      <c r="F111" s="12" t="s">
        <v>65</v>
      </c>
      <c r="G111" s="9" t="s">
        <v>224</v>
      </c>
      <c r="H111" s="15">
        <v>100</v>
      </c>
      <c r="I111" s="9" t="s">
        <v>6</v>
      </c>
    </row>
    <row r="112" spans="1:9" s="6" customFormat="1" ht="18.75" customHeight="1" x14ac:dyDescent="0.2">
      <c r="A112" s="2">
        <f t="shared" si="1"/>
        <v>110</v>
      </c>
      <c r="B112" s="11" t="s">
        <v>151</v>
      </c>
      <c r="C112" s="9" t="s">
        <v>224</v>
      </c>
      <c r="D112" s="9" t="s">
        <v>76</v>
      </c>
      <c r="E112" s="9" t="s">
        <v>38</v>
      </c>
      <c r="F112" s="11" t="s">
        <v>65</v>
      </c>
      <c r="G112" s="9" t="s">
        <v>224</v>
      </c>
      <c r="H112" s="14">
        <v>50</v>
      </c>
      <c r="I112" s="9" t="s">
        <v>6</v>
      </c>
    </row>
    <row r="113" spans="1:9" s="6" customFormat="1" ht="18.75" customHeight="1" x14ac:dyDescent="0.2">
      <c r="A113" s="2">
        <f t="shared" si="1"/>
        <v>111</v>
      </c>
      <c r="B113" s="11" t="s">
        <v>151</v>
      </c>
      <c r="C113" s="9" t="s">
        <v>59</v>
      </c>
      <c r="D113" s="9" t="s">
        <v>88</v>
      </c>
      <c r="E113" s="9" t="s">
        <v>43</v>
      </c>
      <c r="F113" s="11" t="s">
        <v>17</v>
      </c>
      <c r="G113" s="9" t="s">
        <v>59</v>
      </c>
      <c r="H113" s="14">
        <v>2000</v>
      </c>
      <c r="I113" s="9" t="s">
        <v>6</v>
      </c>
    </row>
    <row r="114" spans="1:9" s="6" customFormat="1" ht="18.75" customHeight="1" x14ac:dyDescent="0.2">
      <c r="A114" s="2">
        <f t="shared" si="1"/>
        <v>112</v>
      </c>
      <c r="B114" s="11" t="s">
        <v>151</v>
      </c>
      <c r="C114" s="9" t="s">
        <v>228</v>
      </c>
      <c r="D114" s="9" t="s">
        <v>154</v>
      </c>
      <c r="E114" s="9" t="s">
        <v>41</v>
      </c>
      <c r="F114" s="9" t="s">
        <v>69</v>
      </c>
      <c r="G114" s="9" t="s">
        <v>228</v>
      </c>
      <c r="H114" s="14">
        <v>15000</v>
      </c>
      <c r="I114" s="9" t="s">
        <v>6</v>
      </c>
    </row>
    <row r="115" spans="1:9" s="6" customFormat="1" ht="18.75" customHeight="1" x14ac:dyDescent="0.2">
      <c r="A115" s="2">
        <f t="shared" si="1"/>
        <v>113</v>
      </c>
      <c r="B115" s="11" t="s">
        <v>151</v>
      </c>
      <c r="C115" s="9" t="s">
        <v>233</v>
      </c>
      <c r="D115" s="9" t="s">
        <v>63</v>
      </c>
      <c r="E115" s="9" t="s">
        <v>38</v>
      </c>
      <c r="F115" s="11" t="s">
        <v>155</v>
      </c>
      <c r="G115" s="9" t="s">
        <v>224</v>
      </c>
      <c r="H115" s="14">
        <v>1000</v>
      </c>
      <c r="I115" s="9" t="s">
        <v>6</v>
      </c>
    </row>
    <row r="116" spans="1:9" s="6" customFormat="1" ht="18.75" customHeight="1" x14ac:dyDescent="0.2">
      <c r="A116" s="2">
        <f t="shared" si="1"/>
        <v>114</v>
      </c>
      <c r="B116" s="11" t="s">
        <v>156</v>
      </c>
      <c r="C116" s="9" t="s">
        <v>7</v>
      </c>
      <c r="D116" s="9" t="s">
        <v>209</v>
      </c>
      <c r="E116" s="9" t="s">
        <v>35</v>
      </c>
      <c r="F116" s="11" t="s">
        <v>210</v>
      </c>
      <c r="G116" s="9" t="s">
        <v>224</v>
      </c>
      <c r="H116" s="14">
        <v>23364</v>
      </c>
      <c r="I116" s="9" t="s">
        <v>6</v>
      </c>
    </row>
    <row r="117" spans="1:9" s="6" customFormat="1" ht="18.75" customHeight="1" x14ac:dyDescent="0.2">
      <c r="A117" s="2">
        <f t="shared" si="1"/>
        <v>115</v>
      </c>
      <c r="B117" s="11" t="s">
        <v>156</v>
      </c>
      <c r="C117" s="9" t="s">
        <v>230</v>
      </c>
      <c r="D117" s="9" t="s">
        <v>157</v>
      </c>
      <c r="E117" s="9" t="s">
        <v>220</v>
      </c>
      <c r="F117" s="9" t="s">
        <v>159</v>
      </c>
      <c r="G117" s="9" t="s">
        <v>158</v>
      </c>
      <c r="H117" s="14">
        <v>3315</v>
      </c>
      <c r="I117" s="9" t="s">
        <v>6</v>
      </c>
    </row>
    <row r="118" spans="1:9" s="6" customFormat="1" ht="18.75" customHeight="1" x14ac:dyDescent="0.2">
      <c r="A118" s="2">
        <f t="shared" si="1"/>
        <v>116</v>
      </c>
      <c r="B118" s="11" t="s">
        <v>156</v>
      </c>
      <c r="C118" s="9" t="s">
        <v>230</v>
      </c>
      <c r="D118" s="9" t="s">
        <v>157</v>
      </c>
      <c r="E118" s="9" t="s">
        <v>220</v>
      </c>
      <c r="F118" s="9" t="s">
        <v>159</v>
      </c>
      <c r="G118" s="9" t="s">
        <v>158</v>
      </c>
      <c r="H118" s="14">
        <v>3320</v>
      </c>
      <c r="I118" s="9" t="s">
        <v>6</v>
      </c>
    </row>
    <row r="119" spans="1:9" s="6" customFormat="1" ht="18.75" customHeight="1" x14ac:dyDescent="0.2">
      <c r="A119" s="2">
        <f t="shared" si="1"/>
        <v>117</v>
      </c>
      <c r="B119" s="11" t="s">
        <v>156</v>
      </c>
      <c r="C119" s="9" t="s">
        <v>224</v>
      </c>
      <c r="D119" s="9" t="s">
        <v>209</v>
      </c>
      <c r="E119" s="9" t="s">
        <v>38</v>
      </c>
      <c r="F119" s="11" t="s">
        <v>210</v>
      </c>
      <c r="G119" s="9" t="s">
        <v>224</v>
      </c>
      <c r="H119" s="14">
        <v>3186</v>
      </c>
      <c r="I119" s="9" t="s">
        <v>6</v>
      </c>
    </row>
    <row r="120" spans="1:9" s="6" customFormat="1" ht="18.75" customHeight="1" x14ac:dyDescent="0.2">
      <c r="A120" s="2">
        <f t="shared" si="1"/>
        <v>118</v>
      </c>
      <c r="B120" s="11" t="s">
        <v>156</v>
      </c>
      <c r="C120" s="10" t="s">
        <v>59</v>
      </c>
      <c r="D120" s="10" t="s">
        <v>59</v>
      </c>
      <c r="E120" s="9" t="s">
        <v>43</v>
      </c>
      <c r="F120" s="11" t="s">
        <v>17</v>
      </c>
      <c r="G120" s="9" t="s">
        <v>60</v>
      </c>
      <c r="H120" s="14">
        <v>2000</v>
      </c>
      <c r="I120" s="9" t="s">
        <v>6</v>
      </c>
    </row>
    <row r="121" spans="1:9" s="6" customFormat="1" ht="18.75" customHeight="1" x14ac:dyDescent="0.2">
      <c r="A121" s="2">
        <f t="shared" si="1"/>
        <v>119</v>
      </c>
      <c r="B121" s="11" t="s">
        <v>156</v>
      </c>
      <c r="C121" s="10" t="s">
        <v>59</v>
      </c>
      <c r="D121" s="10" t="s">
        <v>160</v>
      </c>
      <c r="E121" s="10" t="s">
        <v>43</v>
      </c>
      <c r="F121" s="11" t="s">
        <v>65</v>
      </c>
      <c r="G121" s="9" t="s">
        <v>59</v>
      </c>
      <c r="H121" s="14">
        <v>500</v>
      </c>
      <c r="I121" s="9" t="s">
        <v>6</v>
      </c>
    </row>
    <row r="122" spans="1:9" s="6" customFormat="1" ht="18.75" customHeight="1" x14ac:dyDescent="0.2">
      <c r="A122" s="2">
        <f t="shared" si="1"/>
        <v>120</v>
      </c>
      <c r="B122" s="11" t="s">
        <v>156</v>
      </c>
      <c r="C122" s="9" t="s">
        <v>59</v>
      </c>
      <c r="D122" s="9" t="s">
        <v>88</v>
      </c>
      <c r="E122" s="10" t="s">
        <v>43</v>
      </c>
      <c r="F122" s="11" t="s">
        <v>65</v>
      </c>
      <c r="G122" s="9" t="s">
        <v>59</v>
      </c>
      <c r="H122" s="14">
        <v>400</v>
      </c>
      <c r="I122" s="9" t="s">
        <v>6</v>
      </c>
    </row>
    <row r="123" spans="1:9" s="6" customFormat="1" ht="18.75" customHeight="1" x14ac:dyDescent="0.2">
      <c r="A123" s="2">
        <f t="shared" si="1"/>
        <v>121</v>
      </c>
      <c r="B123" s="11" t="s">
        <v>161</v>
      </c>
      <c r="C123" s="9" t="s">
        <v>224</v>
      </c>
      <c r="D123" s="9" t="s">
        <v>76</v>
      </c>
      <c r="E123" s="9" t="s">
        <v>38</v>
      </c>
      <c r="F123" s="11" t="s">
        <v>65</v>
      </c>
      <c r="G123" s="9" t="s">
        <v>224</v>
      </c>
      <c r="H123" s="14">
        <v>57</v>
      </c>
      <c r="I123" s="9" t="s">
        <v>6</v>
      </c>
    </row>
    <row r="124" spans="1:9" s="6" customFormat="1" ht="18.75" customHeight="1" x14ac:dyDescent="0.2">
      <c r="A124" s="2">
        <f t="shared" si="1"/>
        <v>122</v>
      </c>
      <c r="B124" s="11" t="s">
        <v>161</v>
      </c>
      <c r="C124" s="9" t="s">
        <v>224</v>
      </c>
      <c r="D124" s="9" t="s">
        <v>162</v>
      </c>
      <c r="E124" s="9" t="s">
        <v>220</v>
      </c>
      <c r="F124" s="11" t="s">
        <v>211</v>
      </c>
      <c r="G124" s="9" t="s">
        <v>224</v>
      </c>
      <c r="H124" s="14">
        <v>5000</v>
      </c>
      <c r="I124" s="9" t="s">
        <v>6</v>
      </c>
    </row>
    <row r="125" spans="1:9" s="6" customFormat="1" ht="18.75" customHeight="1" x14ac:dyDescent="0.2">
      <c r="A125" s="2">
        <f t="shared" si="1"/>
        <v>123</v>
      </c>
      <c r="B125" s="11" t="s">
        <v>161</v>
      </c>
      <c r="C125" s="9" t="s">
        <v>59</v>
      </c>
      <c r="D125" s="9" t="s">
        <v>163</v>
      </c>
      <c r="E125" s="9" t="s">
        <v>43</v>
      </c>
      <c r="F125" s="9" t="s">
        <v>17</v>
      </c>
      <c r="G125" s="9" t="s">
        <v>60</v>
      </c>
      <c r="H125" s="14">
        <v>1000</v>
      </c>
      <c r="I125" s="9" t="s">
        <v>6</v>
      </c>
    </row>
    <row r="126" spans="1:9" s="6" customFormat="1" ht="18.75" customHeight="1" x14ac:dyDescent="0.2">
      <c r="A126" s="2">
        <f t="shared" si="1"/>
        <v>124</v>
      </c>
      <c r="B126" s="11" t="s">
        <v>161</v>
      </c>
      <c r="C126" s="9" t="s">
        <v>230</v>
      </c>
      <c r="D126" s="9" t="s">
        <v>230</v>
      </c>
      <c r="E126" s="9" t="s">
        <v>220</v>
      </c>
      <c r="F126" s="11" t="s">
        <v>12</v>
      </c>
      <c r="G126" s="9" t="s">
        <v>230</v>
      </c>
      <c r="H126" s="14">
        <v>2000</v>
      </c>
      <c r="I126" s="9" t="s">
        <v>6</v>
      </c>
    </row>
    <row r="127" spans="1:9" s="6" customFormat="1" ht="18.75" customHeight="1" x14ac:dyDescent="0.2">
      <c r="A127" s="2">
        <f t="shared" si="1"/>
        <v>125</v>
      </c>
      <c r="B127" s="11" t="s">
        <v>161</v>
      </c>
      <c r="C127" s="9" t="s">
        <v>59</v>
      </c>
      <c r="D127" s="9" t="s">
        <v>88</v>
      </c>
      <c r="E127" s="9" t="s">
        <v>43</v>
      </c>
      <c r="F127" s="11" t="s">
        <v>17</v>
      </c>
      <c r="G127" s="9" t="s">
        <v>60</v>
      </c>
      <c r="H127" s="14">
        <v>1000</v>
      </c>
      <c r="I127" s="9" t="s">
        <v>6</v>
      </c>
    </row>
    <row r="128" spans="1:9" s="6" customFormat="1" ht="18.75" customHeight="1" x14ac:dyDescent="0.2">
      <c r="A128" s="2">
        <f t="shared" si="1"/>
        <v>126</v>
      </c>
      <c r="B128" s="11" t="s">
        <v>161</v>
      </c>
      <c r="C128" s="9" t="s">
        <v>59</v>
      </c>
      <c r="D128" s="9" t="s">
        <v>79</v>
      </c>
      <c r="E128" s="9" t="s">
        <v>43</v>
      </c>
      <c r="F128" s="9" t="s">
        <v>164</v>
      </c>
      <c r="G128" s="9" t="s">
        <v>60</v>
      </c>
      <c r="H128" s="14">
        <v>4000</v>
      </c>
      <c r="I128" s="9" t="s">
        <v>6</v>
      </c>
    </row>
    <row r="129" spans="1:9" s="6" customFormat="1" ht="18.75" customHeight="1" x14ac:dyDescent="0.2">
      <c r="A129" s="2">
        <f t="shared" si="1"/>
        <v>127</v>
      </c>
      <c r="B129" s="11" t="s">
        <v>165</v>
      </c>
      <c r="C129" s="9" t="s">
        <v>7</v>
      </c>
      <c r="D129" s="9" t="s">
        <v>166</v>
      </c>
      <c r="E129" s="9" t="s">
        <v>41</v>
      </c>
      <c r="F129" s="9" t="s">
        <v>120</v>
      </c>
      <c r="G129" s="10" t="s">
        <v>228</v>
      </c>
      <c r="H129" s="14">
        <v>389</v>
      </c>
      <c r="I129" s="9" t="s">
        <v>6</v>
      </c>
    </row>
    <row r="130" spans="1:9" s="6" customFormat="1" ht="18.75" customHeight="1" x14ac:dyDescent="0.2">
      <c r="A130" s="2">
        <f t="shared" si="1"/>
        <v>128</v>
      </c>
      <c r="B130" s="11" t="s">
        <v>165</v>
      </c>
      <c r="C130" s="9" t="s">
        <v>228</v>
      </c>
      <c r="D130" s="9" t="s">
        <v>117</v>
      </c>
      <c r="E130" s="9" t="s">
        <v>41</v>
      </c>
      <c r="F130" s="9" t="s">
        <v>17</v>
      </c>
      <c r="G130" s="9" t="s">
        <v>228</v>
      </c>
      <c r="H130" s="14">
        <v>500</v>
      </c>
      <c r="I130" s="9" t="s">
        <v>6</v>
      </c>
    </row>
    <row r="131" spans="1:9" s="6" customFormat="1" ht="18.75" customHeight="1" x14ac:dyDescent="0.2">
      <c r="A131" s="2">
        <f t="shared" si="1"/>
        <v>129</v>
      </c>
      <c r="B131" s="11" t="s">
        <v>165</v>
      </c>
      <c r="C131" s="9" t="s">
        <v>228</v>
      </c>
      <c r="D131" s="9" t="s">
        <v>76</v>
      </c>
      <c r="E131" s="9" t="s">
        <v>41</v>
      </c>
      <c r="F131" s="9" t="s">
        <v>167</v>
      </c>
      <c r="G131" s="9" t="s">
        <v>228</v>
      </c>
      <c r="H131" s="14">
        <v>56</v>
      </c>
      <c r="I131" s="9" t="s">
        <v>6</v>
      </c>
    </row>
    <row r="132" spans="1:9" s="6" customFormat="1" ht="18.75" customHeight="1" x14ac:dyDescent="0.2">
      <c r="A132" s="2">
        <f t="shared" si="1"/>
        <v>130</v>
      </c>
      <c r="B132" s="11" t="s">
        <v>168</v>
      </c>
      <c r="C132" s="9" t="s">
        <v>224</v>
      </c>
      <c r="D132" s="9" t="s">
        <v>62</v>
      </c>
      <c r="E132" s="9" t="s">
        <v>38</v>
      </c>
      <c r="F132" s="11" t="s">
        <v>169</v>
      </c>
      <c r="G132" s="9" t="s">
        <v>224</v>
      </c>
      <c r="H132" s="14">
        <v>446</v>
      </c>
      <c r="I132" s="9" t="s">
        <v>6</v>
      </c>
    </row>
    <row r="133" spans="1:9" s="6" customFormat="1" ht="18.75" customHeight="1" x14ac:dyDescent="0.2">
      <c r="A133" s="2">
        <f t="shared" ref="A133:A176" si="2">A132+1</f>
        <v>131</v>
      </c>
      <c r="B133" s="11" t="s">
        <v>168</v>
      </c>
      <c r="C133" s="9" t="s">
        <v>7</v>
      </c>
      <c r="D133" s="9" t="s">
        <v>141</v>
      </c>
      <c r="E133" s="9" t="s">
        <v>35</v>
      </c>
      <c r="F133" s="11" t="s">
        <v>108</v>
      </c>
      <c r="G133" s="9" t="s">
        <v>60</v>
      </c>
      <c r="H133" s="14">
        <v>5000</v>
      </c>
      <c r="I133" s="9" t="s">
        <v>6</v>
      </c>
    </row>
    <row r="134" spans="1:9" s="6" customFormat="1" ht="18.75" customHeight="1" x14ac:dyDescent="0.2">
      <c r="A134" s="2">
        <f t="shared" si="2"/>
        <v>132</v>
      </c>
      <c r="B134" s="11" t="s">
        <v>168</v>
      </c>
      <c r="C134" s="9" t="s">
        <v>230</v>
      </c>
      <c r="D134" s="9" t="s">
        <v>81</v>
      </c>
      <c r="E134" s="9" t="s">
        <v>220</v>
      </c>
      <c r="F134" s="11" t="s">
        <v>103</v>
      </c>
      <c r="G134" s="9" t="s">
        <v>60</v>
      </c>
      <c r="H134" s="14">
        <v>5100</v>
      </c>
      <c r="I134" s="9" t="s">
        <v>6</v>
      </c>
    </row>
    <row r="135" spans="1:9" s="6" customFormat="1" ht="18.75" customHeight="1" x14ac:dyDescent="0.2">
      <c r="A135" s="2">
        <f t="shared" si="2"/>
        <v>133</v>
      </c>
      <c r="B135" s="11" t="s">
        <v>168</v>
      </c>
      <c r="C135" s="9" t="s">
        <v>228</v>
      </c>
      <c r="D135" s="9" t="s">
        <v>171</v>
      </c>
      <c r="E135" s="9" t="s">
        <v>41</v>
      </c>
      <c r="F135" s="11" t="s">
        <v>172</v>
      </c>
      <c r="G135" s="9" t="s">
        <v>84</v>
      </c>
      <c r="H135" s="14">
        <v>2100</v>
      </c>
      <c r="I135" s="9" t="s">
        <v>6</v>
      </c>
    </row>
    <row r="136" spans="1:9" s="6" customFormat="1" ht="18.75" customHeight="1" x14ac:dyDescent="0.2">
      <c r="A136" s="2">
        <f t="shared" si="2"/>
        <v>134</v>
      </c>
      <c r="B136" s="11" t="s">
        <v>168</v>
      </c>
      <c r="C136" s="9" t="s">
        <v>228</v>
      </c>
      <c r="D136" s="9" t="s">
        <v>170</v>
      </c>
      <c r="E136" s="9" t="s">
        <v>41</v>
      </c>
      <c r="F136" s="11" t="s">
        <v>111</v>
      </c>
      <c r="G136" s="9" t="s">
        <v>228</v>
      </c>
      <c r="H136" s="14">
        <v>1500</v>
      </c>
      <c r="I136" s="9" t="s">
        <v>6</v>
      </c>
    </row>
    <row r="137" spans="1:9" s="6" customFormat="1" ht="18.75" customHeight="1" x14ac:dyDescent="0.2">
      <c r="A137" s="2">
        <f t="shared" si="2"/>
        <v>135</v>
      </c>
      <c r="B137" s="11" t="s">
        <v>168</v>
      </c>
      <c r="C137" s="9" t="s">
        <v>228</v>
      </c>
      <c r="D137" s="9" t="s">
        <v>112</v>
      </c>
      <c r="E137" s="9" t="s">
        <v>41</v>
      </c>
      <c r="F137" s="11" t="s">
        <v>113</v>
      </c>
      <c r="G137" s="9" t="s">
        <v>228</v>
      </c>
      <c r="H137" s="14">
        <v>700</v>
      </c>
      <c r="I137" s="9" t="s">
        <v>6</v>
      </c>
    </row>
    <row r="138" spans="1:9" s="6" customFormat="1" ht="18.75" customHeight="1" x14ac:dyDescent="0.2">
      <c r="A138" s="2">
        <f t="shared" si="2"/>
        <v>136</v>
      </c>
      <c r="B138" s="11" t="s">
        <v>168</v>
      </c>
      <c r="C138" s="9" t="s">
        <v>230</v>
      </c>
      <c r="D138" s="9" t="s">
        <v>81</v>
      </c>
      <c r="E138" s="20" t="s">
        <v>220</v>
      </c>
      <c r="F138" s="11" t="s">
        <v>82</v>
      </c>
      <c r="G138" s="9" t="s">
        <v>84</v>
      </c>
      <c r="H138" s="16">
        <v>2200</v>
      </c>
      <c r="I138" s="9" t="s">
        <v>6</v>
      </c>
    </row>
    <row r="139" spans="1:9" s="6" customFormat="1" ht="18.75" customHeight="1" x14ac:dyDescent="0.2">
      <c r="A139" s="2">
        <f t="shared" si="2"/>
        <v>137</v>
      </c>
      <c r="B139" s="11" t="s">
        <v>168</v>
      </c>
      <c r="C139" s="9" t="s">
        <v>173</v>
      </c>
      <c r="D139" s="9" t="s">
        <v>173</v>
      </c>
      <c r="E139" s="20" t="s">
        <v>212</v>
      </c>
      <c r="F139" s="9" t="s">
        <v>173</v>
      </c>
      <c r="G139" s="9" t="s">
        <v>173</v>
      </c>
      <c r="H139" s="16">
        <v>198</v>
      </c>
      <c r="I139" s="9" t="s">
        <v>6</v>
      </c>
    </row>
    <row r="140" spans="1:9" s="6" customFormat="1" ht="18.75" customHeight="1" x14ac:dyDescent="0.2">
      <c r="A140" s="2">
        <f t="shared" si="2"/>
        <v>138</v>
      </c>
      <c r="B140" s="11" t="s">
        <v>168</v>
      </c>
      <c r="C140" s="9" t="s">
        <v>173</v>
      </c>
      <c r="D140" s="9" t="s">
        <v>173</v>
      </c>
      <c r="E140" s="20" t="s">
        <v>212</v>
      </c>
      <c r="F140" s="9" t="s">
        <v>173</v>
      </c>
      <c r="G140" s="9" t="s">
        <v>173</v>
      </c>
      <c r="H140" s="16">
        <v>1100</v>
      </c>
      <c r="I140" s="9" t="s">
        <v>6</v>
      </c>
    </row>
    <row r="141" spans="1:9" s="6" customFormat="1" ht="18.75" customHeight="1" x14ac:dyDescent="0.2">
      <c r="A141" s="2">
        <f t="shared" si="2"/>
        <v>139</v>
      </c>
      <c r="B141" s="11" t="s">
        <v>168</v>
      </c>
      <c r="C141" s="9" t="s">
        <v>173</v>
      </c>
      <c r="D141" s="9" t="s">
        <v>173</v>
      </c>
      <c r="E141" s="20" t="s">
        <v>212</v>
      </c>
      <c r="F141" s="9" t="s">
        <v>173</v>
      </c>
      <c r="G141" s="9" t="s">
        <v>173</v>
      </c>
      <c r="H141" s="16">
        <v>18</v>
      </c>
      <c r="I141" s="9" t="s">
        <v>6</v>
      </c>
    </row>
    <row r="142" spans="1:9" s="6" customFormat="1" ht="18.75" customHeight="1" x14ac:dyDescent="0.2">
      <c r="A142" s="2">
        <f t="shared" si="2"/>
        <v>140</v>
      </c>
      <c r="B142" s="11" t="s">
        <v>168</v>
      </c>
      <c r="C142" s="9" t="s">
        <v>173</v>
      </c>
      <c r="D142" s="9" t="s">
        <v>173</v>
      </c>
      <c r="E142" s="20" t="s">
        <v>212</v>
      </c>
      <c r="F142" s="9" t="s">
        <v>213</v>
      </c>
      <c r="G142" s="9" t="s">
        <v>173</v>
      </c>
      <c r="H142" s="16">
        <v>212</v>
      </c>
      <c r="I142" s="9" t="s">
        <v>6</v>
      </c>
    </row>
    <row r="143" spans="1:9" s="6" customFormat="1" ht="18.75" customHeight="1" x14ac:dyDescent="0.2">
      <c r="A143" s="2">
        <f t="shared" si="2"/>
        <v>141</v>
      </c>
      <c r="B143" s="11" t="s">
        <v>168</v>
      </c>
      <c r="C143" s="9" t="s">
        <v>173</v>
      </c>
      <c r="D143" s="9" t="s">
        <v>173</v>
      </c>
      <c r="E143" s="20" t="s">
        <v>212</v>
      </c>
      <c r="F143" s="9" t="s">
        <v>173</v>
      </c>
      <c r="G143" s="9" t="s">
        <v>173</v>
      </c>
      <c r="H143" s="16">
        <v>38.159999999999997</v>
      </c>
      <c r="I143" s="9" t="s">
        <v>6</v>
      </c>
    </row>
    <row r="144" spans="1:9" s="6" customFormat="1" ht="18.75" customHeight="1" x14ac:dyDescent="0.2">
      <c r="A144" s="2">
        <f t="shared" si="2"/>
        <v>142</v>
      </c>
      <c r="B144" s="11" t="s">
        <v>168</v>
      </c>
      <c r="C144" s="9" t="s">
        <v>173</v>
      </c>
      <c r="D144" s="9" t="s">
        <v>173</v>
      </c>
      <c r="E144" s="20" t="s">
        <v>212</v>
      </c>
      <c r="F144" s="9" t="s">
        <v>173</v>
      </c>
      <c r="G144" s="9" t="s">
        <v>173</v>
      </c>
      <c r="H144" s="16">
        <v>100</v>
      </c>
      <c r="I144" s="9" t="s">
        <v>6</v>
      </c>
    </row>
    <row r="145" spans="1:10" s="6" customFormat="1" ht="18.75" customHeight="1" x14ac:dyDescent="0.2">
      <c r="A145" s="2">
        <f t="shared" si="2"/>
        <v>143</v>
      </c>
      <c r="B145" s="11" t="s">
        <v>174</v>
      </c>
      <c r="C145" s="9" t="s">
        <v>234</v>
      </c>
      <c r="D145" s="9" t="s">
        <v>235</v>
      </c>
      <c r="E145" s="10" t="s">
        <v>236</v>
      </c>
      <c r="F145" s="11" t="s">
        <v>28</v>
      </c>
      <c r="G145" s="9" t="s">
        <v>234</v>
      </c>
      <c r="H145" s="14">
        <v>3000</v>
      </c>
      <c r="I145" s="9" t="s">
        <v>6</v>
      </c>
      <c r="J145" s="1"/>
    </row>
    <row r="146" spans="1:10" s="6" customFormat="1" ht="18.75" customHeight="1" x14ac:dyDescent="0.2">
      <c r="A146" s="2">
        <f t="shared" si="2"/>
        <v>144</v>
      </c>
      <c r="B146" s="11" t="s">
        <v>174</v>
      </c>
      <c r="C146" s="9" t="s">
        <v>234</v>
      </c>
      <c r="D146" s="9" t="s">
        <v>235</v>
      </c>
      <c r="E146" s="10" t="s">
        <v>236</v>
      </c>
      <c r="F146" s="11" t="s">
        <v>28</v>
      </c>
      <c r="G146" s="9" t="s">
        <v>234</v>
      </c>
      <c r="H146" s="14">
        <v>2000</v>
      </c>
      <c r="I146" s="9" t="s">
        <v>6</v>
      </c>
      <c r="J146" s="1"/>
    </row>
    <row r="147" spans="1:10" s="6" customFormat="1" ht="18.75" customHeight="1" x14ac:dyDescent="0.2">
      <c r="A147" s="2">
        <f t="shared" si="2"/>
        <v>145</v>
      </c>
      <c r="B147" s="11" t="s">
        <v>174</v>
      </c>
      <c r="C147" s="9" t="s">
        <v>228</v>
      </c>
      <c r="D147" s="9" t="s">
        <v>175</v>
      </c>
      <c r="E147" s="9" t="s">
        <v>41</v>
      </c>
      <c r="F147" s="11" t="s">
        <v>176</v>
      </c>
      <c r="G147" s="9" t="s">
        <v>84</v>
      </c>
      <c r="H147" s="14">
        <v>2000</v>
      </c>
      <c r="I147" s="9" t="s">
        <v>6</v>
      </c>
      <c r="J147" s="1"/>
    </row>
    <row r="148" spans="1:10" s="6" customFormat="1" ht="18.75" customHeight="1" x14ac:dyDescent="0.2">
      <c r="A148" s="2">
        <f t="shared" si="2"/>
        <v>146</v>
      </c>
      <c r="B148" s="11" t="s">
        <v>174</v>
      </c>
      <c r="C148" s="9" t="s">
        <v>224</v>
      </c>
      <c r="D148" s="9" t="s">
        <v>152</v>
      </c>
      <c r="E148" s="9" t="s">
        <v>38</v>
      </c>
      <c r="F148" s="11" t="s">
        <v>135</v>
      </c>
      <c r="G148" s="10" t="s">
        <v>224</v>
      </c>
      <c r="H148" s="14">
        <v>19</v>
      </c>
      <c r="I148" s="9" t="s">
        <v>6</v>
      </c>
      <c r="J148" s="1"/>
    </row>
    <row r="149" spans="1:10" s="6" customFormat="1" ht="18.75" customHeight="1" x14ac:dyDescent="0.2">
      <c r="A149" s="2">
        <f t="shared" si="2"/>
        <v>147</v>
      </c>
      <c r="B149" s="11" t="s">
        <v>177</v>
      </c>
      <c r="C149" s="9" t="s">
        <v>7</v>
      </c>
      <c r="D149" s="9" t="s">
        <v>178</v>
      </c>
      <c r="E149" s="9" t="s">
        <v>35</v>
      </c>
      <c r="F149" s="11" t="s">
        <v>179</v>
      </c>
      <c r="G149" s="10" t="s">
        <v>84</v>
      </c>
      <c r="H149" s="14">
        <v>7150</v>
      </c>
      <c r="I149" s="9" t="s">
        <v>6</v>
      </c>
      <c r="J149" s="1"/>
    </row>
    <row r="150" spans="1:10" s="6" customFormat="1" ht="18.75" customHeight="1" x14ac:dyDescent="0.2">
      <c r="A150" s="2">
        <f t="shared" si="2"/>
        <v>148</v>
      </c>
      <c r="B150" s="11" t="s">
        <v>177</v>
      </c>
      <c r="C150" s="9" t="s">
        <v>228</v>
      </c>
      <c r="D150" s="9" t="s">
        <v>180</v>
      </c>
      <c r="E150" s="9" t="s">
        <v>41</v>
      </c>
      <c r="F150" s="11"/>
      <c r="G150" s="10" t="s">
        <v>84</v>
      </c>
      <c r="H150" s="14">
        <v>610</v>
      </c>
      <c r="I150" s="9" t="s">
        <v>6</v>
      </c>
      <c r="J150" s="1"/>
    </row>
    <row r="151" spans="1:10" s="6" customFormat="1" ht="18.75" customHeight="1" x14ac:dyDescent="0.2">
      <c r="A151" s="2">
        <f t="shared" si="2"/>
        <v>149</v>
      </c>
      <c r="B151" s="11" t="s">
        <v>177</v>
      </c>
      <c r="C151" s="9" t="s">
        <v>224</v>
      </c>
      <c r="D151" s="9" t="s">
        <v>76</v>
      </c>
      <c r="E151" s="9" t="s">
        <v>38</v>
      </c>
      <c r="F151" s="11" t="s">
        <v>65</v>
      </c>
      <c r="G151" s="10" t="s">
        <v>224</v>
      </c>
      <c r="H151" s="14">
        <v>60</v>
      </c>
      <c r="I151" s="9" t="s">
        <v>6</v>
      </c>
      <c r="J151" s="1"/>
    </row>
    <row r="152" spans="1:10" s="6" customFormat="1" ht="18.75" customHeight="1" x14ac:dyDescent="0.2">
      <c r="A152" s="2">
        <f t="shared" si="2"/>
        <v>150</v>
      </c>
      <c r="B152" s="11" t="s">
        <v>177</v>
      </c>
      <c r="C152" s="9" t="s">
        <v>224</v>
      </c>
      <c r="D152" s="9" t="s">
        <v>181</v>
      </c>
      <c r="E152" s="9" t="s">
        <v>38</v>
      </c>
      <c r="F152" s="9" t="s">
        <v>65</v>
      </c>
      <c r="G152" s="10" t="s">
        <v>224</v>
      </c>
      <c r="H152" s="14">
        <v>250</v>
      </c>
      <c r="I152" s="9" t="s">
        <v>6</v>
      </c>
      <c r="J152" s="1"/>
    </row>
    <row r="153" spans="1:10" s="6" customFormat="1" ht="18.75" customHeight="1" x14ac:dyDescent="0.2">
      <c r="A153" s="2">
        <f t="shared" si="2"/>
        <v>151</v>
      </c>
      <c r="B153" s="11" t="s">
        <v>182</v>
      </c>
      <c r="C153" s="9" t="s">
        <v>224</v>
      </c>
      <c r="D153" s="9" t="s">
        <v>183</v>
      </c>
      <c r="E153" s="9" t="s">
        <v>38</v>
      </c>
      <c r="F153" s="11" t="s">
        <v>135</v>
      </c>
      <c r="G153" s="10" t="s">
        <v>224</v>
      </c>
      <c r="H153" s="14">
        <v>29</v>
      </c>
      <c r="I153" s="9" t="s">
        <v>6</v>
      </c>
      <c r="J153" s="1"/>
    </row>
    <row r="154" spans="1:10" s="6" customFormat="1" ht="18.75" customHeight="1" x14ac:dyDescent="0.2">
      <c r="A154" s="2">
        <f t="shared" si="2"/>
        <v>152</v>
      </c>
      <c r="B154" s="11" t="s">
        <v>182</v>
      </c>
      <c r="C154" s="9" t="s">
        <v>224</v>
      </c>
      <c r="D154" s="9" t="s">
        <v>76</v>
      </c>
      <c r="E154" s="9" t="s">
        <v>38</v>
      </c>
      <c r="F154" s="11" t="s">
        <v>123</v>
      </c>
      <c r="G154" s="10" t="s">
        <v>224</v>
      </c>
      <c r="H154" s="14">
        <v>53</v>
      </c>
      <c r="I154" s="9" t="s">
        <v>6</v>
      </c>
      <c r="J154" s="1"/>
    </row>
    <row r="155" spans="1:10" s="6" customFormat="1" ht="18.75" customHeight="1" x14ac:dyDescent="0.2">
      <c r="A155" s="2">
        <f t="shared" si="2"/>
        <v>153</v>
      </c>
      <c r="B155" s="11" t="s">
        <v>182</v>
      </c>
      <c r="C155" s="9" t="s">
        <v>230</v>
      </c>
      <c r="D155" s="9" t="s">
        <v>184</v>
      </c>
      <c r="E155" s="9" t="s">
        <v>220</v>
      </c>
      <c r="F155" s="11" t="s">
        <v>185</v>
      </c>
      <c r="G155" s="9" t="s">
        <v>230</v>
      </c>
      <c r="H155" s="14">
        <v>1400</v>
      </c>
      <c r="I155" s="9" t="s">
        <v>6</v>
      </c>
      <c r="J155" s="1"/>
    </row>
    <row r="156" spans="1:10" s="6" customFormat="1" ht="18.75" customHeight="1" x14ac:dyDescent="0.2">
      <c r="A156" s="2">
        <f t="shared" si="2"/>
        <v>154</v>
      </c>
      <c r="B156" s="11" t="s">
        <v>182</v>
      </c>
      <c r="C156" s="9" t="s">
        <v>180</v>
      </c>
      <c r="D156" s="9" t="s">
        <v>180</v>
      </c>
      <c r="E156" s="9" t="s">
        <v>41</v>
      </c>
      <c r="F156" s="9" t="s">
        <v>186</v>
      </c>
      <c r="G156" s="10" t="s">
        <v>84</v>
      </c>
      <c r="H156" s="14">
        <v>330</v>
      </c>
      <c r="I156" s="9" t="s">
        <v>6</v>
      </c>
      <c r="J156" s="1"/>
    </row>
    <row r="157" spans="1:10" s="6" customFormat="1" ht="18.75" customHeight="1" x14ac:dyDescent="0.2">
      <c r="A157" s="2">
        <f t="shared" si="2"/>
        <v>155</v>
      </c>
      <c r="B157" s="11" t="s">
        <v>182</v>
      </c>
      <c r="C157" s="9" t="s">
        <v>224</v>
      </c>
      <c r="D157" s="9" t="s">
        <v>152</v>
      </c>
      <c r="E157" s="9" t="s">
        <v>38</v>
      </c>
      <c r="F157" s="11" t="s">
        <v>135</v>
      </c>
      <c r="G157" s="10" t="s">
        <v>224</v>
      </c>
      <c r="H157" s="14">
        <v>39</v>
      </c>
      <c r="I157" s="9" t="s">
        <v>6</v>
      </c>
      <c r="J157" s="1"/>
    </row>
    <row r="158" spans="1:10" s="6" customFormat="1" ht="18.75" customHeight="1" x14ac:dyDescent="0.2">
      <c r="A158" s="2">
        <f t="shared" si="2"/>
        <v>156</v>
      </c>
      <c r="B158" s="11" t="s">
        <v>187</v>
      </c>
      <c r="C158" s="9" t="s">
        <v>224</v>
      </c>
      <c r="D158" s="9" t="s">
        <v>152</v>
      </c>
      <c r="E158" s="9" t="s">
        <v>38</v>
      </c>
      <c r="F158" s="11" t="s">
        <v>135</v>
      </c>
      <c r="G158" s="10" t="s">
        <v>224</v>
      </c>
      <c r="H158" s="14">
        <v>79</v>
      </c>
      <c r="I158" s="9" t="s">
        <v>6</v>
      </c>
      <c r="J158" s="1"/>
    </row>
    <row r="159" spans="1:10" s="6" customFormat="1" ht="18.75" customHeight="1" x14ac:dyDescent="0.2">
      <c r="A159" s="2">
        <f t="shared" si="2"/>
        <v>157</v>
      </c>
      <c r="B159" s="11" t="s">
        <v>188</v>
      </c>
      <c r="C159" s="9" t="s">
        <v>224</v>
      </c>
      <c r="D159" s="9" t="s">
        <v>152</v>
      </c>
      <c r="E159" s="10" t="s">
        <v>38</v>
      </c>
      <c r="F159" s="11" t="s">
        <v>135</v>
      </c>
      <c r="G159" s="10" t="s">
        <v>224</v>
      </c>
      <c r="H159" s="14">
        <v>400.9</v>
      </c>
      <c r="I159" s="9" t="s">
        <v>6</v>
      </c>
      <c r="J159" s="1"/>
    </row>
    <row r="160" spans="1:10" s="6" customFormat="1" ht="18.75" customHeight="1" x14ac:dyDescent="0.2">
      <c r="A160" s="2">
        <f t="shared" si="2"/>
        <v>158</v>
      </c>
      <c r="B160" s="11" t="s">
        <v>189</v>
      </c>
      <c r="C160" s="9" t="s">
        <v>7</v>
      </c>
      <c r="D160" s="9" t="s">
        <v>190</v>
      </c>
      <c r="E160" s="9" t="s">
        <v>35</v>
      </c>
      <c r="F160" s="11" t="s">
        <v>191</v>
      </c>
      <c r="G160" s="9" t="s">
        <v>84</v>
      </c>
      <c r="H160" s="14">
        <v>11228</v>
      </c>
      <c r="I160" s="9" t="s">
        <v>6</v>
      </c>
      <c r="J160" s="1"/>
    </row>
    <row r="161" spans="1:9" x14ac:dyDescent="0.25">
      <c r="A161" s="2">
        <f t="shared" si="2"/>
        <v>159</v>
      </c>
      <c r="B161" s="11" t="s">
        <v>189</v>
      </c>
      <c r="C161" s="9" t="s">
        <v>224</v>
      </c>
      <c r="D161" s="9" t="s">
        <v>145</v>
      </c>
      <c r="E161" s="9" t="s">
        <v>38</v>
      </c>
      <c r="F161" s="11" t="s">
        <v>146</v>
      </c>
      <c r="G161" s="9" t="s">
        <v>224</v>
      </c>
      <c r="H161" s="14">
        <v>3712</v>
      </c>
      <c r="I161" s="9" t="s">
        <v>6</v>
      </c>
    </row>
    <row r="162" spans="1:9" x14ac:dyDescent="0.25">
      <c r="A162" s="2">
        <f t="shared" si="2"/>
        <v>160</v>
      </c>
      <c r="B162" s="11" t="s">
        <v>189</v>
      </c>
      <c r="C162" s="9" t="s">
        <v>230</v>
      </c>
      <c r="D162" s="9" t="s">
        <v>136</v>
      </c>
      <c r="E162" s="9" t="s">
        <v>220</v>
      </c>
      <c r="F162" s="11" t="s">
        <v>82</v>
      </c>
      <c r="G162" s="9" t="s">
        <v>230</v>
      </c>
      <c r="H162" s="14">
        <v>3200</v>
      </c>
      <c r="I162" s="9" t="s">
        <v>6</v>
      </c>
    </row>
    <row r="163" spans="1:9" x14ac:dyDescent="0.25">
      <c r="A163" s="2">
        <f t="shared" si="2"/>
        <v>161</v>
      </c>
      <c r="B163" s="11" t="s">
        <v>189</v>
      </c>
      <c r="C163" s="9" t="s">
        <v>228</v>
      </c>
      <c r="D163" s="9" t="s">
        <v>192</v>
      </c>
      <c r="E163" s="9" t="s">
        <v>41</v>
      </c>
      <c r="F163" s="11" t="s">
        <v>111</v>
      </c>
      <c r="G163" s="9" t="s">
        <v>228</v>
      </c>
      <c r="H163" s="14">
        <v>1000</v>
      </c>
      <c r="I163" s="9" t="s">
        <v>6</v>
      </c>
    </row>
    <row r="164" spans="1:9" x14ac:dyDescent="0.25">
      <c r="A164" s="2">
        <f t="shared" si="2"/>
        <v>162</v>
      </c>
      <c r="B164" s="11" t="s">
        <v>189</v>
      </c>
      <c r="C164" s="9" t="s">
        <v>228</v>
      </c>
      <c r="D164" s="9" t="s">
        <v>124</v>
      </c>
      <c r="E164" s="9" t="s">
        <v>41</v>
      </c>
      <c r="F164" s="11" t="s">
        <v>17</v>
      </c>
      <c r="G164" s="9" t="s">
        <v>228</v>
      </c>
      <c r="H164" s="14">
        <v>500</v>
      </c>
      <c r="I164" s="9" t="s">
        <v>6</v>
      </c>
    </row>
    <row r="165" spans="1:9" x14ac:dyDescent="0.25">
      <c r="A165" s="2">
        <f t="shared" si="2"/>
        <v>163</v>
      </c>
      <c r="B165" s="11" t="s">
        <v>189</v>
      </c>
      <c r="C165" s="9" t="s">
        <v>228</v>
      </c>
      <c r="D165" s="9" t="s">
        <v>112</v>
      </c>
      <c r="E165" s="9" t="s">
        <v>41</v>
      </c>
      <c r="F165" s="11" t="s">
        <v>113</v>
      </c>
      <c r="G165" s="9" t="s">
        <v>228</v>
      </c>
      <c r="H165" s="14">
        <v>350</v>
      </c>
      <c r="I165" s="9" t="s">
        <v>6</v>
      </c>
    </row>
    <row r="166" spans="1:9" x14ac:dyDescent="0.25">
      <c r="A166" s="2">
        <f t="shared" si="2"/>
        <v>164</v>
      </c>
      <c r="B166" s="11" t="s">
        <v>189</v>
      </c>
      <c r="C166" s="9" t="s">
        <v>228</v>
      </c>
      <c r="D166" s="9" t="s">
        <v>193</v>
      </c>
      <c r="E166" s="9" t="s">
        <v>41</v>
      </c>
      <c r="F166" s="11" t="s">
        <v>194</v>
      </c>
      <c r="G166" s="9" t="s">
        <v>228</v>
      </c>
      <c r="H166" s="14">
        <v>2000</v>
      </c>
      <c r="I166" s="9" t="s">
        <v>6</v>
      </c>
    </row>
    <row r="167" spans="1:9" x14ac:dyDescent="0.25">
      <c r="A167" s="2">
        <f t="shared" si="2"/>
        <v>165</v>
      </c>
      <c r="B167" s="11" t="s">
        <v>189</v>
      </c>
      <c r="C167" s="9" t="s">
        <v>228</v>
      </c>
      <c r="D167" s="9" t="s">
        <v>114</v>
      </c>
      <c r="E167" s="9" t="s">
        <v>41</v>
      </c>
      <c r="F167" s="11" t="s">
        <v>195</v>
      </c>
      <c r="G167" s="9" t="s">
        <v>228</v>
      </c>
      <c r="H167" s="14">
        <v>1098</v>
      </c>
      <c r="I167" s="9" t="s">
        <v>6</v>
      </c>
    </row>
    <row r="168" spans="1:9" x14ac:dyDescent="0.25">
      <c r="A168" s="2">
        <f t="shared" si="2"/>
        <v>166</v>
      </c>
      <c r="B168" s="11" t="s">
        <v>196</v>
      </c>
      <c r="C168" s="9" t="s">
        <v>224</v>
      </c>
      <c r="D168" s="9" t="s">
        <v>97</v>
      </c>
      <c r="E168" s="9" t="s">
        <v>38</v>
      </c>
      <c r="F168" s="11" t="s">
        <v>85</v>
      </c>
      <c r="G168" s="9" t="s">
        <v>224</v>
      </c>
      <c r="H168" s="14">
        <v>100</v>
      </c>
      <c r="I168" s="9" t="s">
        <v>6</v>
      </c>
    </row>
    <row r="169" spans="1:9" x14ac:dyDescent="0.25">
      <c r="A169" s="2">
        <f t="shared" si="2"/>
        <v>167</v>
      </c>
      <c r="B169" s="11" t="s">
        <v>196</v>
      </c>
      <c r="C169" s="9" t="s">
        <v>224</v>
      </c>
      <c r="D169" s="9" t="s">
        <v>97</v>
      </c>
      <c r="E169" s="9" t="s">
        <v>38</v>
      </c>
      <c r="F169" s="11" t="s">
        <v>99</v>
      </c>
      <c r="G169" s="9" t="s">
        <v>224</v>
      </c>
      <c r="H169" s="14">
        <v>100</v>
      </c>
      <c r="I169" s="9" t="s">
        <v>6</v>
      </c>
    </row>
    <row r="170" spans="1:9" x14ac:dyDescent="0.25">
      <c r="A170" s="2">
        <f t="shared" si="2"/>
        <v>168</v>
      </c>
      <c r="B170" s="11" t="s">
        <v>196</v>
      </c>
      <c r="C170" s="9" t="s">
        <v>224</v>
      </c>
      <c r="D170" s="9" t="s">
        <v>204</v>
      </c>
      <c r="E170" s="9" t="s">
        <v>38</v>
      </c>
      <c r="F170" s="11" t="s">
        <v>214</v>
      </c>
      <c r="G170" s="9" t="s">
        <v>224</v>
      </c>
      <c r="H170" s="14">
        <v>300</v>
      </c>
      <c r="I170" s="9" t="s">
        <v>6</v>
      </c>
    </row>
    <row r="171" spans="1:9" x14ac:dyDescent="0.25">
      <c r="A171" s="2">
        <f t="shared" si="2"/>
        <v>169</v>
      </c>
      <c r="B171" s="11" t="s">
        <v>196</v>
      </c>
      <c r="C171" s="9" t="s">
        <v>224</v>
      </c>
      <c r="D171" s="9" t="s">
        <v>215</v>
      </c>
      <c r="E171" s="9" t="s">
        <v>38</v>
      </c>
      <c r="F171" s="9" t="s">
        <v>64</v>
      </c>
      <c r="G171" s="9" t="s">
        <v>224</v>
      </c>
      <c r="H171" s="14">
        <v>6162</v>
      </c>
      <c r="I171" s="9" t="s">
        <v>6</v>
      </c>
    </row>
    <row r="172" spans="1:9" x14ac:dyDescent="0.25">
      <c r="A172" s="2">
        <f t="shared" si="2"/>
        <v>170</v>
      </c>
      <c r="B172" s="11" t="s">
        <v>196</v>
      </c>
      <c r="C172" s="9" t="s">
        <v>224</v>
      </c>
      <c r="D172" s="9" t="s">
        <v>215</v>
      </c>
      <c r="E172" s="9" t="s">
        <v>38</v>
      </c>
      <c r="F172" s="9" t="s">
        <v>64</v>
      </c>
      <c r="G172" s="9" t="s">
        <v>224</v>
      </c>
      <c r="H172" s="14">
        <v>7400</v>
      </c>
      <c r="I172" s="9" t="s">
        <v>6</v>
      </c>
    </row>
    <row r="173" spans="1:9" x14ac:dyDescent="0.25">
      <c r="A173" s="2">
        <f t="shared" si="2"/>
        <v>171</v>
      </c>
      <c r="B173" s="11" t="s">
        <v>196</v>
      </c>
      <c r="C173" s="9" t="s">
        <v>224</v>
      </c>
      <c r="D173" s="9" t="s">
        <v>29</v>
      </c>
      <c r="E173" s="9" t="s">
        <v>38</v>
      </c>
      <c r="F173" s="9" t="s">
        <v>64</v>
      </c>
      <c r="G173" s="9" t="s">
        <v>224</v>
      </c>
      <c r="H173" s="14">
        <v>2500</v>
      </c>
      <c r="I173" s="9" t="s">
        <v>6</v>
      </c>
    </row>
    <row r="174" spans="1:9" x14ac:dyDescent="0.25">
      <c r="A174" s="2">
        <f t="shared" si="2"/>
        <v>172</v>
      </c>
      <c r="B174" s="11" t="s">
        <v>216</v>
      </c>
      <c r="C174" s="9" t="s">
        <v>224</v>
      </c>
      <c r="D174" s="9" t="s">
        <v>217</v>
      </c>
      <c r="E174" s="9" t="s">
        <v>38</v>
      </c>
      <c r="F174" s="9" t="s">
        <v>64</v>
      </c>
      <c r="G174" s="9" t="s">
        <v>224</v>
      </c>
      <c r="H174" s="14">
        <v>1000</v>
      </c>
      <c r="I174" s="9" t="s">
        <v>6</v>
      </c>
    </row>
    <row r="175" spans="1:9" x14ac:dyDescent="0.25">
      <c r="A175" s="2">
        <f t="shared" si="2"/>
        <v>173</v>
      </c>
      <c r="B175" s="11" t="s">
        <v>216</v>
      </c>
      <c r="C175" s="9" t="s">
        <v>224</v>
      </c>
      <c r="D175" s="9" t="s">
        <v>218</v>
      </c>
      <c r="E175" s="9" t="s">
        <v>38</v>
      </c>
      <c r="F175" s="9" t="s">
        <v>64</v>
      </c>
      <c r="G175" s="9" t="s">
        <v>224</v>
      </c>
      <c r="H175" s="14">
        <v>200</v>
      </c>
      <c r="I175" s="9" t="s">
        <v>6</v>
      </c>
    </row>
    <row r="176" spans="1:9" x14ac:dyDescent="0.25">
      <c r="A176" s="2">
        <f t="shared" si="2"/>
        <v>174</v>
      </c>
      <c r="B176" s="11" t="s">
        <v>216</v>
      </c>
      <c r="C176" s="9" t="s">
        <v>224</v>
      </c>
      <c r="D176" s="9" t="s">
        <v>204</v>
      </c>
      <c r="E176" s="9" t="s">
        <v>38</v>
      </c>
      <c r="F176" s="11" t="s">
        <v>219</v>
      </c>
      <c r="G176" s="9" t="s">
        <v>224</v>
      </c>
      <c r="H176" s="14">
        <v>55</v>
      </c>
      <c r="I176" s="9" t="s">
        <v>6</v>
      </c>
    </row>
    <row r="177" spans="4:8" x14ac:dyDescent="0.25">
      <c r="D177" s="8"/>
      <c r="H177" s="6"/>
    </row>
    <row r="178" spans="4:8" x14ac:dyDescent="0.25">
      <c r="D178" s="21"/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APP</vt:lpstr>
      <vt:lpstr>JUNE AXIS -EXP</vt:lpstr>
      <vt:lpstr>oct-25-26</vt:lpstr>
      <vt:lpstr>Sheet1</vt:lpstr>
      <vt:lpstr> DEC MONTH OVER ALL STATEMENT</vt:lpstr>
      <vt:lpstr>payment From Ganesh</vt:lpstr>
      <vt:lpstr>PURCHASE</vt:lpstr>
      <vt:lpstr>WATCH TOWER</vt:lpstr>
      <vt:lpstr>BAKERS</vt:lpstr>
      <vt:lpstr>April 24 All Side Expenses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Nithish S - [CB.SC.I5DAS20025], Amrita Vishwa Vidyapee</cp:lastModifiedBy>
  <cp:lastPrinted>2025-05-22T12:29:12Z</cp:lastPrinted>
  <dcterms:created xsi:type="dcterms:W3CDTF">2024-05-04T06:27:33Z</dcterms:created>
  <dcterms:modified xsi:type="dcterms:W3CDTF">2025-12-22T14:32:46Z</dcterms:modified>
</cp:coreProperties>
</file>